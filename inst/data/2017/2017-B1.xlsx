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codeName="DieseArbeitsmappe"/>
  <mc:AlternateContent xmlns:mc="http://schemas.openxmlformats.org/markup-compatibility/2006">
    <mc:Choice Requires="x15">
      <x15ac:absPath xmlns:x15ac="http://schemas.microsoft.com/office/spreadsheetml/2010/11/ac" url="/Users/tw/cloud-erfurt/EWF-bekigeki/bekihist/inst/data/2017/"/>
    </mc:Choice>
  </mc:AlternateContent>
  <xr:revisionPtr revIDLastSave="0" documentId="13_ncr:1_{16275BDF-C494-1D4B-BA0C-1208FF16D711}" xr6:coauthVersionLast="47" xr6:coauthVersionMax="47" xr10:uidLastSave="{00000000-0000-0000-0000-000000000000}"/>
  <bookViews>
    <workbookView xWindow="0" yWindow="760" windowWidth="28800" windowHeight="14020" xr2:uid="{00000000-000D-0000-FFFF-FFFF00000000}"/>
  </bookViews>
  <sheets>
    <sheet name="Startseite" sheetId="1" r:id="rId1"/>
    <sheet name="Schülerprofil" sheetId="2" r:id="rId2"/>
    <sheet name="TEST-Daten" sheetId="3" r:id="rId3"/>
    <sheet name="Hilfe zur Dateneingabe" sheetId="10" r:id="rId4"/>
    <sheet name="Tabelle4" sheetId="4" state="hidden" r:id="rId5"/>
    <sheet name="Tabelle1" sheetId="5" state="hidden" r:id="rId6"/>
  </sheets>
  <definedNames>
    <definedName name="_200" localSheetId="0">Startseite!#REF!</definedName>
    <definedName name="Abt.neu">Tabelle4!$N$3:$N$6</definedName>
    <definedName name="auswahl">Tabelle4!$R$1:$R$3</definedName>
    <definedName name="Beeinträchtigung">Tabelle4!$Q$1:$Q$4</definedName>
    <definedName name="Beeinträchtigungen">Tabelle4!$Q$2:$Q$9</definedName>
    <definedName name="bitte_auswählen_ja_nein">Tabelle4!$O$1:$O$5</definedName>
    <definedName name="df">Startseite!#REF!</definedName>
    <definedName name="Dienstalter">Tabelle4!$E$1:$E$3</definedName>
    <definedName name="Geburtsjahr">Tabelle4!$L$1:$L$7</definedName>
    <definedName name="Geburtsmonat">Tabelle4!$M$1:$M$12</definedName>
    <definedName name="Geburtstag">Tabelle4!$L$1:$L$30</definedName>
    <definedName name="Geschlecht">Tabelle4!$D$1:$D$2</definedName>
    <definedName name="Geschlecht1">Tabelle4!$D$1:$D$3</definedName>
    <definedName name="Lehrbefähigung">Tabelle4!$F$1:$F$2</definedName>
    <definedName name="Lehrbefähigung_neu">Tabelle4!$F$1:$F$3</definedName>
    <definedName name="Mitglied">Tabelle4!#REF!</definedName>
    <definedName name="Mitglied_neu">Tabelle4!$K$1:$K$2</definedName>
    <definedName name="Ort">Tabelle4!$N$1:$N$5</definedName>
    <definedName name="Schülerzahl">Tabelle4!$B$1:$B$3</definedName>
    <definedName name="Schulkonzept">Tabelle4!$A:$A</definedName>
    <definedName name="Schulkonzept_I">Startseite!#REF!</definedName>
    <definedName name="Schulprofil_neu">Tabelle4!$A$1:$A$4</definedName>
    <definedName name="sdf">Startseite!#REF!</definedName>
    <definedName name="Sport_AG">Tabelle4!$C$1:$C$4</definedName>
    <definedName name="Sportart_AG">Tabelle4!$H$1:$H$9</definedName>
    <definedName name="Sportart_Freizeit">Tabelle4!$I$1:$I$7</definedName>
    <definedName name="Sportart_Verein">Tabelle4!$G$1:$G$10</definedName>
    <definedName name="Stunden">Tabelle4!$J:$J</definedName>
    <definedName name="Stunden_neu">Tabelle4!$J$1:$J$3</definedName>
    <definedName name="Stunden_neuer">Tabelle4!$J$1:$J$4</definedName>
    <definedName name="Stunden..">Tabelle4!$J$1:$J$3</definedName>
    <definedName name="Testort">Tabelle4!$N$3:$N$4</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2" i="3" l="1"/>
  <c r="M18" i="3"/>
  <c r="M19" i="3"/>
  <c r="M20" i="3"/>
  <c r="M21" i="3"/>
  <c r="M23" i="3"/>
  <c r="M24" i="3"/>
  <c r="M25"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C17" i="3" l="1"/>
  <c r="C18" i="3"/>
  <c r="C19" i="3"/>
  <c r="C37" i="3"/>
  <c r="C36" i="3"/>
  <c r="C35" i="3"/>
  <c r="C34" i="3"/>
  <c r="C33" i="3"/>
  <c r="C32" i="3"/>
  <c r="C31" i="3"/>
  <c r="C30" i="3"/>
  <c r="C29" i="3"/>
  <c r="C28" i="3"/>
  <c r="C27" i="3"/>
  <c r="C26" i="3"/>
  <c r="C20" i="3"/>
  <c r="C22" i="3"/>
  <c r="C21" i="3"/>
  <c r="C163" i="3"/>
  <c r="C164" i="3"/>
  <c r="C165" i="3"/>
  <c r="C166" i="3"/>
  <c r="C148" i="3"/>
  <c r="C149" i="3"/>
  <c r="C150" i="3"/>
  <c r="C151" i="3"/>
  <c r="C152" i="3"/>
  <c r="C153" i="3"/>
  <c r="C154" i="3"/>
  <c r="C155" i="3"/>
  <c r="C156" i="3"/>
  <c r="C157" i="3"/>
  <c r="C158" i="3"/>
  <c r="C159" i="3"/>
  <c r="C160" i="3"/>
  <c r="C161" i="3"/>
  <c r="C162" i="3"/>
  <c r="C124" i="3"/>
  <c r="C125" i="3"/>
  <c r="C126" i="3"/>
  <c r="C127" i="3"/>
  <c r="C128" i="3"/>
  <c r="C129" i="3"/>
  <c r="C130" i="3"/>
  <c r="C131" i="3"/>
  <c r="C132" i="3"/>
  <c r="C133" i="3"/>
  <c r="C134" i="3"/>
  <c r="C135" i="3"/>
  <c r="C136" i="3"/>
  <c r="C137" i="3"/>
  <c r="C138" i="3"/>
  <c r="C139" i="3"/>
  <c r="C140" i="3"/>
  <c r="C141" i="3"/>
  <c r="C142" i="3"/>
  <c r="C143" i="3"/>
  <c r="C144" i="3"/>
  <c r="C145" i="3"/>
  <c r="C146" i="3"/>
  <c r="C147" i="3"/>
  <c r="C109" i="3"/>
  <c r="C110" i="3"/>
  <c r="C111" i="3"/>
  <c r="C112" i="3"/>
  <c r="C113" i="3"/>
  <c r="C114" i="3"/>
  <c r="C115" i="3"/>
  <c r="C116" i="3"/>
  <c r="C117" i="3"/>
  <c r="C118" i="3"/>
  <c r="C119" i="3"/>
  <c r="C120" i="3"/>
  <c r="C121" i="3"/>
  <c r="C122" i="3"/>
  <c r="C123" i="3"/>
  <c r="C88" i="3"/>
  <c r="C89" i="3"/>
  <c r="C90" i="3"/>
  <c r="C91" i="3"/>
  <c r="C92" i="3"/>
  <c r="C93" i="3"/>
  <c r="C94" i="3"/>
  <c r="C95" i="3"/>
  <c r="C96" i="3"/>
  <c r="C97" i="3"/>
  <c r="C98" i="3"/>
  <c r="C99" i="3"/>
  <c r="C100" i="3"/>
  <c r="C101" i="3"/>
  <c r="C102" i="3"/>
  <c r="C103" i="3"/>
  <c r="C104" i="3"/>
  <c r="C105" i="3"/>
  <c r="C106" i="3"/>
  <c r="C107" i="3"/>
  <c r="C108"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23" i="3"/>
  <c r="C24" i="3"/>
  <c r="C25" i="3"/>
</calcChain>
</file>

<file path=xl/sharedStrings.xml><?xml version="1.0" encoding="utf-8"?>
<sst xmlns="http://schemas.openxmlformats.org/spreadsheetml/2006/main" count="670" uniqueCount="137">
  <si>
    <t>FLEX</t>
  </si>
  <si>
    <t>Ganztag</t>
  </si>
  <si>
    <t>sportbetont</t>
  </si>
  <si>
    <t>keines</t>
  </si>
  <si>
    <t>&lt; 200</t>
  </si>
  <si>
    <t>200 - 300</t>
  </si>
  <si>
    <t>&gt; 300</t>
  </si>
  <si>
    <t>weiblich</t>
  </si>
  <si>
    <t>&lt; 15 Jahre</t>
  </si>
  <si>
    <t>15 - 30 Jahre</t>
  </si>
  <si>
    <t>&gt; 30 Jahre</t>
  </si>
  <si>
    <t>Studium</t>
  </si>
  <si>
    <t>Weiterbildung</t>
  </si>
  <si>
    <t xml:space="preserve">Ort: </t>
  </si>
  <si>
    <t>Schülercode</t>
  </si>
  <si>
    <t>Geschlecht</t>
  </si>
  <si>
    <t>Mitglied</t>
  </si>
  <si>
    <t>Sportart 1</t>
  </si>
  <si>
    <t>Sportart 2</t>
  </si>
  <si>
    <t>Sportart 3</t>
  </si>
  <si>
    <t>ja</t>
  </si>
  <si>
    <t>nein</t>
  </si>
  <si>
    <t>Leichtathletik</t>
  </si>
  <si>
    <t>Schwimmen</t>
  </si>
  <si>
    <t>Kampfsport</t>
  </si>
  <si>
    <t>Fahrrad fahren</t>
  </si>
  <si>
    <t>Ballsport</t>
  </si>
  <si>
    <t>Laufen</t>
  </si>
  <si>
    <t>[sec]</t>
  </si>
  <si>
    <t>Medizinballstoßen</t>
  </si>
  <si>
    <t>[m]</t>
  </si>
  <si>
    <t>Standweitsprung</t>
  </si>
  <si>
    <t>[cm]</t>
  </si>
  <si>
    <t>Sternlauf</t>
  </si>
  <si>
    <t>6-min-Lauf</t>
  </si>
  <si>
    <t>Geburtsdatum</t>
  </si>
  <si>
    <t>Große Sportspiele*</t>
  </si>
  <si>
    <t>Sonstige Spiele</t>
  </si>
  <si>
    <t>Tanzen/Aerobic</t>
  </si>
  <si>
    <t>[max. 5 Zeichen]</t>
  </si>
  <si>
    <t>Anmerkungen</t>
  </si>
  <si>
    <t>keine</t>
  </si>
  <si>
    <t>20-m-Sprint</t>
  </si>
  <si>
    <t>&gt; 2</t>
  </si>
  <si>
    <t>Reiten/Voltigieren</t>
  </si>
  <si>
    <t>Name der Schule:</t>
  </si>
  <si>
    <t>6-stellige Schulnr.:</t>
  </si>
  <si>
    <t xml:space="preserve"> -bitte auswählen-</t>
  </si>
  <si>
    <t>Inklusion</t>
  </si>
  <si>
    <t>Förderschwerpunkt</t>
  </si>
  <si>
    <t>/</t>
  </si>
  <si>
    <t>körperl. &amp; motor. Entw.</t>
  </si>
  <si>
    <t>Sprache</t>
  </si>
  <si>
    <t>Lernen</t>
  </si>
  <si>
    <t>emotionale &amp; soziale Entw.</t>
  </si>
  <si>
    <t>Hören</t>
  </si>
  <si>
    <t>Sehen</t>
  </si>
  <si>
    <t>geistige Entwicklung</t>
  </si>
  <si>
    <t>1x</t>
  </si>
  <si>
    <t>2x</t>
  </si>
  <si>
    <t>3x</t>
  </si>
  <si>
    <t>mehr als 3x</t>
  </si>
  <si>
    <t>Andere</t>
  </si>
  <si>
    <t>Inlineskate/Skateboarden</t>
  </si>
  <si>
    <t>(m / w)</t>
  </si>
  <si>
    <t>bitte wählen</t>
  </si>
  <si>
    <t>männlich</t>
  </si>
  <si>
    <t>(ja /nein)</t>
  </si>
  <si>
    <t>(ja / nein)</t>
  </si>
  <si>
    <t>nicht mehr voreingestellt</t>
  </si>
  <si>
    <t>Mitglied im Sportverein</t>
  </si>
  <si>
    <t>Teilnahme an einer Sport-AG</t>
  </si>
  <si>
    <t>Sport-AG 1</t>
  </si>
  <si>
    <t>Sport-AG 2</t>
  </si>
  <si>
    <t>Sport-AG 3</t>
  </si>
  <si>
    <t>Beispiel-Zeile</t>
  </si>
  <si>
    <t>g1</t>
  </si>
  <si>
    <t>Teilnahme</t>
  </si>
  <si>
    <t xml:space="preserve"> SCHÜLERPROFIL</t>
  </si>
  <si>
    <t>Hilfe zur Dateneingabe</t>
  </si>
  <si>
    <t>Hinweis zu Verletzungen, Unter-/Übergewicht, Ausführungsprobleme etc.</t>
  </si>
  <si>
    <t>w</t>
  </si>
  <si>
    <t>Schüler/in</t>
  </si>
  <si>
    <t>(TT/MM/JJJJ)</t>
  </si>
  <si>
    <t>Wie oft in der Woche wird die Sportart durchschnittlich betrieben (inkl. Wettkämpfe/Ligaspiele)?</t>
  </si>
  <si>
    <t>Bei mehreren Sportarten bitte Anzahl addieren!</t>
  </si>
  <si>
    <t>a1</t>
  </si>
  <si>
    <t>Koordinationsprobleme beim Sternlauf</t>
  </si>
  <si>
    <t>(M/JJJJ)</t>
  </si>
  <si>
    <t>Einbeinstand</t>
  </si>
  <si>
    <t>Dateneingabemaske</t>
  </si>
  <si>
    <t>Hilfe zur Dateneingabemaske</t>
  </si>
  <si>
    <t>&lt; zurück zu den TEST-Daten</t>
  </si>
  <si>
    <t>&lt; zurück zum Schülerprofil</t>
  </si>
  <si>
    <t>&lt; zurück zur Startseite</t>
  </si>
  <si>
    <t>&gt; mit der Dateneingabe beginnen</t>
  </si>
  <si>
    <t>Turnen/Gymnastik</t>
  </si>
  <si>
    <t>Skisport</t>
  </si>
  <si>
    <t>&gt; weiter zur Eingabe der TEST-Daten</t>
  </si>
  <si>
    <r>
      <t>&lt;</t>
    </r>
    <r>
      <rPr>
        <b/>
        <sz val="12.6"/>
        <color rgb="FFFFFF99"/>
        <rFont val="Arial"/>
        <family val="2"/>
      </rPr>
      <t xml:space="preserve"> </t>
    </r>
    <r>
      <rPr>
        <b/>
        <sz val="14"/>
        <color rgb="FFFFFF99"/>
        <rFont val="Arial"/>
        <family val="2"/>
      </rPr>
      <t>zurück zur Startseite</t>
    </r>
  </si>
  <si>
    <r>
      <rPr>
        <b/>
        <sz val="10"/>
        <color indexed="8"/>
        <rFont val="Arial"/>
        <family val="2"/>
      </rPr>
      <t>Hinweis zu den Sportarten</t>
    </r>
    <r>
      <rPr>
        <sz val="10"/>
        <color indexed="8"/>
        <rFont val="Arial"/>
        <family val="2"/>
      </rPr>
      <t>: *</t>
    </r>
    <r>
      <rPr>
        <i/>
        <sz val="10"/>
        <color indexed="8"/>
        <rFont val="Arial"/>
        <family val="2"/>
      </rPr>
      <t>Große Sportspiele</t>
    </r>
    <r>
      <rPr>
        <sz val="10"/>
        <color indexed="8"/>
        <rFont val="Arial"/>
        <family val="2"/>
      </rPr>
      <t xml:space="preserve"> = Fuß-, Hand-, Volley- &amp; Basketball</t>
    </r>
  </si>
  <si>
    <r>
      <rPr>
        <b/>
        <sz val="10"/>
        <color indexed="8"/>
        <rFont val="Arial"/>
        <family val="2"/>
      </rPr>
      <t>*Geburtsdatum</t>
    </r>
    <r>
      <rPr>
        <sz val="10"/>
        <color indexed="8"/>
        <rFont val="Arial"/>
        <family val="2"/>
      </rPr>
      <t xml:space="preserve"> gesamt </t>
    </r>
  </si>
  <si>
    <t>&gt; weiter zur Eingabe der Test-Daten</t>
  </si>
  <si>
    <r>
      <t xml:space="preserve">6-min-Lauf   </t>
    </r>
    <r>
      <rPr>
        <sz val="11"/>
        <color theme="1"/>
        <rFont val="Arial"/>
        <family val="2"/>
      </rPr>
      <t xml:space="preserve">[Runden]  </t>
    </r>
    <r>
      <rPr>
        <sz val="11"/>
        <color rgb="FFC00000"/>
        <rFont val="Arial"/>
        <family val="2"/>
      </rPr>
      <t xml:space="preserve">Eingabe absolvierte     54-m-Runden </t>
    </r>
  </si>
  <si>
    <r>
      <t xml:space="preserve">6-min-Lauf  </t>
    </r>
    <r>
      <rPr>
        <sz val="11"/>
        <color theme="1"/>
        <rFont val="Arial"/>
        <family val="2"/>
      </rPr>
      <t>[</t>
    </r>
    <r>
      <rPr>
        <i/>
        <sz val="11"/>
        <color theme="1"/>
        <rFont val="Arial"/>
        <family val="2"/>
      </rPr>
      <t>Pylonen</t>
    </r>
    <r>
      <rPr>
        <sz val="11"/>
        <color theme="1"/>
        <rFont val="Arial"/>
        <family val="2"/>
      </rPr>
      <t>]</t>
    </r>
    <r>
      <rPr>
        <b/>
        <sz val="11"/>
        <color theme="1"/>
        <rFont val="Arial"/>
        <family val="2"/>
      </rPr>
      <t xml:space="preserve"> </t>
    </r>
    <r>
      <rPr>
        <sz val="11"/>
        <color rgb="FFC00000"/>
        <rFont val="Arial"/>
        <family val="2"/>
      </rPr>
      <t>Eingabe erreichte Pylonen in letzter Runde</t>
    </r>
  </si>
  <si>
    <r>
      <t xml:space="preserve">6-min-Lauf </t>
    </r>
    <r>
      <rPr>
        <sz val="11"/>
        <color theme="1"/>
        <rFont val="Arial"/>
        <family val="2"/>
      </rPr>
      <t xml:space="preserve">[m] </t>
    </r>
    <r>
      <rPr>
        <sz val="11"/>
        <color rgb="FFC00000"/>
        <rFont val="Arial"/>
        <family val="2"/>
      </rPr>
      <t>automatische Meter-Berechnung</t>
    </r>
  </si>
  <si>
    <r>
      <t xml:space="preserve">[m] </t>
    </r>
    <r>
      <rPr>
        <sz val="11"/>
        <color rgb="FFC00000"/>
        <rFont val="Arial"/>
        <family val="2"/>
      </rPr>
      <t>Selbsteingabe</t>
    </r>
  </si>
  <si>
    <t>Größe (cm)</t>
  </si>
  <si>
    <t>Gewicht (kg)</t>
  </si>
  <si>
    <t>B1</t>
  </si>
  <si>
    <t>m</t>
  </si>
  <si>
    <t>B2</t>
  </si>
  <si>
    <t>B3</t>
  </si>
  <si>
    <t>B4</t>
  </si>
  <si>
    <t>B5</t>
  </si>
  <si>
    <t>B6</t>
  </si>
  <si>
    <t>B7</t>
  </si>
  <si>
    <t>B8</t>
  </si>
  <si>
    <t>B9</t>
  </si>
  <si>
    <t>B10</t>
  </si>
  <si>
    <t>B11</t>
  </si>
  <si>
    <t>B12</t>
  </si>
  <si>
    <t>B13</t>
  </si>
  <si>
    <t>B14</t>
  </si>
  <si>
    <t>B15</t>
  </si>
  <si>
    <t>B16</t>
  </si>
  <si>
    <t>B17</t>
  </si>
  <si>
    <t>B18</t>
  </si>
  <si>
    <t>B19</t>
  </si>
  <si>
    <t>B20</t>
  </si>
  <si>
    <t>B21</t>
  </si>
  <si>
    <t>B22</t>
  </si>
  <si>
    <t>Klasse</t>
  </si>
  <si>
    <t>Datum</t>
  </si>
  <si>
    <t>3a</t>
  </si>
  <si>
    <t>Staatliche Grundschule Mustermann</t>
  </si>
  <si>
    <t>Musterhausen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</si>
</sst>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7]mmm/\ yy;@"/>
  </numFmts>
  <fonts count="54" x14ac:knownFonts="1">
    <font>
      <sz val="11"/>
      <color theme="1"/>
      <name val="Calibri"/>
      <family val="2"/>
      <scheme val="minor"/>
    </font>
    <font>
      <u/>
      <sz val="11"/>
      <color theme="10"/>
      <name val="Calibri"/>
      <family val="2"/>
    </font>
    <font>
      <sz val="11"/>
      <color theme="1"/>
      <name val="Calibri"/>
      <family val="2"/>
    </font>
    <font>
      <i/>
      <sz val="11"/>
      <color theme="1"/>
      <name val="Calibri"/>
      <family val="2"/>
      <scheme val="minor"/>
    </font>
    <font>
      <b/>
      <sz val="11"/>
      <color theme="1"/>
      <name val="Cambria"/>
      <family val="1"/>
      <scheme val="major"/>
    </font>
    <font>
      <sz val="11"/>
      <color theme="1"/>
      <name val="Cambria"/>
      <family val="1"/>
      <scheme val="major"/>
    </font>
    <font>
      <sz val="24"/>
      <color theme="1"/>
      <name val="Cambria"/>
      <family val="1"/>
      <scheme val="major"/>
    </font>
    <font>
      <sz val="11"/>
      <name val="Cambria"/>
      <family val="1"/>
      <scheme val="major"/>
    </font>
    <font>
      <sz val="16"/>
      <color theme="1"/>
      <name val="Cambria"/>
      <family val="1"/>
      <scheme val="major"/>
    </font>
    <font>
      <sz val="11"/>
      <color rgb="FFFF0000"/>
      <name val="Cambria"/>
      <family val="1"/>
      <scheme val="major"/>
    </font>
    <font>
      <sz val="14"/>
      <color rgb="FFFF0000"/>
      <name val="Cambria"/>
      <family val="1"/>
      <scheme val="major"/>
    </font>
    <font>
      <b/>
      <sz val="24"/>
      <color theme="1"/>
      <name val="Cambria"/>
      <family val="1"/>
      <scheme val="major"/>
    </font>
    <font>
      <b/>
      <i/>
      <sz val="14"/>
      <color theme="1"/>
      <name val="Cambria"/>
      <family val="1"/>
      <scheme val="major"/>
    </font>
    <font>
      <sz val="9"/>
      <color theme="1"/>
      <name val="Cambria"/>
      <family val="1"/>
      <scheme val="major"/>
    </font>
    <font>
      <u/>
      <sz val="12"/>
      <color theme="10"/>
      <name val="Cambria"/>
      <family val="1"/>
      <scheme val="major"/>
    </font>
    <font>
      <sz val="14"/>
      <name val="Cambria"/>
      <family val="1"/>
      <scheme val="major"/>
    </font>
    <font>
      <u/>
      <sz val="11"/>
      <color theme="10"/>
      <name val="Cambria"/>
      <family val="1"/>
      <scheme val="major"/>
    </font>
    <font>
      <u/>
      <sz val="11"/>
      <color rgb="FF0000FF"/>
      <name val="Cambria"/>
      <family val="1"/>
      <scheme val="major"/>
    </font>
    <font>
      <b/>
      <sz val="18"/>
      <color theme="1"/>
      <name val="Arial"/>
      <family val="2"/>
    </font>
    <font>
      <b/>
      <sz val="16"/>
      <color rgb="FFFFFF99"/>
      <name val="Arial"/>
      <family val="2"/>
    </font>
    <font>
      <b/>
      <sz val="14"/>
      <color rgb="FFFFFF99"/>
      <name val="Arial"/>
      <family val="2"/>
    </font>
    <font>
      <b/>
      <sz val="12"/>
      <color rgb="FFFFFF99"/>
      <name val="Arial"/>
      <family val="2"/>
    </font>
    <font>
      <sz val="12"/>
      <color rgb="FFFFFF99"/>
      <name val="Arial"/>
      <family val="2"/>
    </font>
    <font>
      <sz val="14"/>
      <name val="Arial"/>
      <family val="2"/>
    </font>
    <font>
      <b/>
      <sz val="14"/>
      <color theme="1"/>
      <name val="Arial"/>
      <family val="2"/>
    </font>
    <font>
      <b/>
      <sz val="12.6"/>
      <color rgb="FFFFFF99"/>
      <name val="Arial"/>
      <family val="2"/>
    </font>
    <font>
      <sz val="11"/>
      <color theme="1"/>
      <name val="Arial"/>
      <family val="2"/>
    </font>
    <font>
      <b/>
      <sz val="11"/>
      <color theme="1"/>
      <name val="Arial"/>
      <family val="2"/>
    </font>
    <font>
      <i/>
      <sz val="11"/>
      <color theme="1"/>
      <name val="Arial"/>
      <family val="2"/>
    </font>
    <font>
      <b/>
      <sz val="10"/>
      <color theme="1"/>
      <name val="Arial"/>
      <family val="2"/>
    </font>
    <font>
      <i/>
      <sz val="10"/>
      <color theme="1"/>
      <name val="Arial"/>
      <family val="2"/>
    </font>
    <font>
      <i/>
      <sz val="11"/>
      <color rgb="FFC00000"/>
      <name val="Arial"/>
      <family val="2"/>
    </font>
    <font>
      <sz val="10"/>
      <color theme="1"/>
      <name val="Arial"/>
      <family val="2"/>
    </font>
    <font>
      <b/>
      <sz val="10"/>
      <color indexed="8"/>
      <name val="Arial"/>
      <family val="2"/>
    </font>
    <font>
      <sz val="10"/>
      <color indexed="8"/>
      <name val="Arial"/>
      <family val="2"/>
    </font>
    <font>
      <i/>
      <sz val="10"/>
      <color indexed="8"/>
      <name val="Arial"/>
      <family val="2"/>
    </font>
    <font>
      <b/>
      <i/>
      <sz val="10"/>
      <color rgb="FFC00000"/>
      <name val="Arial"/>
      <family val="2"/>
    </font>
    <font>
      <i/>
      <sz val="10"/>
      <color rgb="FFC00000"/>
      <name val="Arial"/>
      <family val="2"/>
    </font>
    <font>
      <sz val="10"/>
      <color rgb="FF000000"/>
      <name val="Arial"/>
      <family val="2"/>
    </font>
    <font>
      <sz val="10"/>
      <name val="Arial"/>
      <family val="2"/>
    </font>
    <font>
      <sz val="14"/>
      <color rgb="FFC00000"/>
      <name val="Arial"/>
      <family val="2"/>
    </font>
    <font>
      <sz val="11"/>
      <color rgb="FFC00000"/>
      <name val="Arial"/>
      <family val="2"/>
    </font>
    <font>
      <i/>
      <sz val="9"/>
      <color theme="1"/>
      <name val="Arial"/>
      <family val="2"/>
    </font>
    <font>
      <b/>
      <sz val="11"/>
      <color rgb="FFC00000"/>
      <name val="Arial"/>
      <family val="2"/>
    </font>
    <font>
      <sz val="16"/>
      <color theme="1"/>
      <name val="Arial"/>
      <family val="2"/>
    </font>
    <font>
      <b/>
      <sz val="24"/>
      <color theme="1"/>
      <name val="Calibri"/>
      <family val="2"/>
      <scheme val="minor"/>
    </font>
    <font>
      <b/>
      <sz val="18"/>
      <color theme="1"/>
      <name val="Arial"/>
      <family val="2"/>
    </font>
    <font>
      <sz val="11"/>
      <color theme="1"/>
      <name val="Calibri"/>
      <family val="2"/>
      <scheme val="minor"/>
    </font>
    <font>
      <b/>
      <sz val="9"/>
      <color theme="1"/>
      <name val="Arial"/>
      <family val="2"/>
    </font>
    <font>
      <b/>
      <i/>
      <sz val="9"/>
      <color rgb="FFFF0000"/>
      <name val="Arial"/>
      <family val="2"/>
    </font>
    <font>
      <b/>
      <sz val="11"/>
      <color theme="1"/>
      <name val="Calibri"/>
      <family val="2"/>
      <scheme val="minor"/>
    </font>
    <font>
      <b/>
      <sz val="16"/>
      <color rgb="FFFFFF99"/>
      <name val="Arial"/>
      <family val="2"/>
    </font>
    <font>
      <b/>
      <i/>
      <sz val="12"/>
      <color theme="1"/>
      <name val="Calibri"/>
      <family val="2"/>
      <scheme val="minor"/>
    </font>
    <font>
      <b/>
      <i/>
      <sz val="11"/>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rgb="FFDDDDDD"/>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C00000"/>
        <bgColor indexed="64"/>
      </patternFill>
    </fill>
    <fill>
      <patternFill patternType="solid">
        <fgColor rgb="FFFFFF66"/>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FF99"/>
        <bgColor indexed="64"/>
      </patternFill>
    </fill>
    <fill>
      <patternFill patternType="solid">
        <fgColor rgb="FF00BECE"/>
        <bgColor indexed="64"/>
      </patternFill>
    </fill>
    <fill>
      <patternFill patternType="solid">
        <fgColor rgb="FF6FCC0D"/>
        <bgColor indexed="64"/>
      </patternFill>
    </fill>
  </fills>
  <borders count="74">
    <border>
      <left/>
      <right/>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bottom/>
      <diagonal/>
    </border>
    <border>
      <left style="thin">
        <color rgb="FFFFFF00"/>
      </left>
      <right/>
      <top/>
      <bottom/>
      <diagonal/>
    </border>
    <border>
      <left style="thin">
        <color rgb="FFFFFF00"/>
      </left>
      <right/>
      <top style="thin">
        <color rgb="FFFFFF00"/>
      </top>
      <bottom/>
      <diagonal/>
    </border>
    <border>
      <left/>
      <right/>
      <top style="thin">
        <color rgb="FFFFFF00"/>
      </top>
      <bottom/>
      <diagonal/>
    </border>
    <border>
      <left/>
      <right style="thin">
        <color rgb="FFFFFF00"/>
      </right>
      <top style="thin">
        <color rgb="FFFFFF00"/>
      </top>
      <bottom/>
      <diagonal/>
    </border>
    <border>
      <left style="thin">
        <color rgb="FFFFFF00"/>
      </left>
      <right/>
      <top/>
      <bottom style="thin">
        <color rgb="FFFFFF00"/>
      </bottom>
      <diagonal/>
    </border>
    <border>
      <left/>
      <right/>
      <top/>
      <bottom style="thin">
        <color rgb="FFFFFF00"/>
      </bottom>
      <diagonal/>
    </border>
    <border>
      <left/>
      <right style="thin">
        <color rgb="FFFFFF00"/>
      </right>
      <top/>
      <bottom style="thin">
        <color rgb="FFFFFF00"/>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rgb="FFFFFF00"/>
      </left>
      <right/>
      <top style="medium">
        <color rgb="FFFFFF00"/>
      </top>
      <bottom/>
      <diagonal/>
    </border>
    <border>
      <left/>
      <right/>
      <top style="medium">
        <color rgb="FFFFFF00"/>
      </top>
      <bottom/>
      <diagonal/>
    </border>
    <border>
      <left/>
      <right style="medium">
        <color rgb="FFFFFF00"/>
      </right>
      <top style="medium">
        <color rgb="FFFFFF00"/>
      </top>
      <bottom/>
      <diagonal/>
    </border>
    <border>
      <left style="medium">
        <color rgb="FFFFFF00"/>
      </left>
      <right/>
      <top/>
      <bottom/>
      <diagonal/>
    </border>
    <border>
      <left/>
      <right style="medium">
        <color rgb="FFFFFF00"/>
      </right>
      <top/>
      <bottom/>
      <diagonal/>
    </border>
    <border>
      <left style="medium">
        <color rgb="FFFFFF00"/>
      </left>
      <right/>
      <top/>
      <bottom style="medium">
        <color rgb="FFFFFF00"/>
      </bottom>
      <diagonal/>
    </border>
    <border>
      <left/>
      <right/>
      <top/>
      <bottom style="medium">
        <color rgb="FFFFFF00"/>
      </bottom>
      <diagonal/>
    </border>
    <border>
      <left/>
      <right style="medium">
        <color rgb="FFFFFF00"/>
      </right>
      <top/>
      <bottom style="medium">
        <color rgb="FFFFFF00"/>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292">
    <xf numFmtId="0" fontId="0" fillId="0" borderId="0" xfId="0"/>
    <xf numFmtId="0" fontId="0" fillId="0" borderId="0" xfId="0" applyAlignment="1">
      <alignment horizontal="center"/>
    </xf>
    <xf numFmtId="0" fontId="2" fillId="0" borderId="0" xfId="0" applyFont="1" applyAlignment="1">
      <alignment horizontal="right"/>
    </xf>
    <xf numFmtId="0" fontId="3" fillId="0" borderId="0" xfId="0" applyFont="1" applyAlignment="1">
      <alignment horizontal="center"/>
    </xf>
    <xf numFmtId="0" fontId="0" fillId="0" borderId="0" xfId="0" applyAlignment="1">
      <alignment horizontal="center" vertical="center"/>
    </xf>
    <xf numFmtId="0" fontId="5" fillId="2" borderId="0" xfId="0" applyFont="1" applyFill="1"/>
    <xf numFmtId="0" fontId="6" fillId="2" borderId="0" xfId="0" applyFont="1" applyFill="1"/>
    <xf numFmtId="0" fontId="7" fillId="2" borderId="0" xfId="1" applyFont="1" applyFill="1" applyBorder="1" applyAlignment="1" applyProtection="1">
      <alignment vertical="center"/>
    </xf>
    <xf numFmtId="0" fontId="7" fillId="2" borderId="0" xfId="1" applyFont="1" applyFill="1" applyBorder="1" applyAlignment="1" applyProtection="1">
      <alignment vertical="center" wrapText="1"/>
    </xf>
    <xf numFmtId="0" fontId="5" fillId="2" borderId="0" xfId="0" applyFont="1" applyFill="1" applyAlignment="1">
      <alignment wrapText="1"/>
    </xf>
    <xf numFmtId="0" fontId="8" fillId="2" borderId="0" xfId="0" applyFont="1" applyFill="1"/>
    <xf numFmtId="0" fontId="9" fillId="2" borderId="0" xfId="0" applyFont="1" applyFill="1"/>
    <xf numFmtId="0" fontId="10" fillId="2" borderId="0" xfId="1" applyFont="1" applyFill="1" applyBorder="1" applyAlignment="1" applyProtection="1">
      <alignment vertical="center"/>
    </xf>
    <xf numFmtId="0" fontId="5" fillId="2" borderId="0" xfId="0" applyFont="1" applyFill="1" applyAlignment="1">
      <alignment vertical="center"/>
    </xf>
    <xf numFmtId="0" fontId="4" fillId="0" borderId="0" xfId="0" applyFont="1"/>
    <xf numFmtId="0" fontId="5" fillId="0" borderId="0" xfId="0" applyFont="1"/>
    <xf numFmtId="0" fontId="11" fillId="0" borderId="0" xfId="0" applyFont="1" applyAlignment="1">
      <alignment horizontal="center" vertical="center"/>
    </xf>
    <xf numFmtId="0" fontId="11" fillId="0" borderId="0" xfId="0" applyFont="1" applyAlignment="1">
      <alignment vertical="center"/>
    </xf>
    <xf numFmtId="0" fontId="12" fillId="0" borderId="0" xfId="0" applyFont="1"/>
    <xf numFmtId="0" fontId="5" fillId="0" borderId="0" xfId="0" applyFont="1" applyAlignment="1">
      <alignment vertical="center" wrapText="1"/>
    </xf>
    <xf numFmtId="0" fontId="4" fillId="0" borderId="0" xfId="0" applyFont="1" applyAlignment="1">
      <alignment horizontal="center" vertical="center"/>
    </xf>
    <xf numFmtId="0" fontId="5" fillId="0" borderId="0" xfId="0" applyFont="1" applyAlignment="1">
      <alignment vertical="center"/>
    </xf>
    <xf numFmtId="0" fontId="4" fillId="0" borderId="0" xfId="0" applyFont="1" applyAlignment="1">
      <alignment horizontal="center"/>
    </xf>
    <xf numFmtId="0" fontId="13" fillId="0" borderId="0" xfId="0" applyFont="1" applyAlignment="1">
      <alignment horizontal="left"/>
    </xf>
    <xf numFmtId="0" fontId="9" fillId="0" borderId="0" xfId="0" applyFont="1"/>
    <xf numFmtId="0" fontId="14" fillId="0" borderId="0" xfId="1" applyFont="1" applyBorder="1" applyAlignment="1" applyProtection="1"/>
    <xf numFmtId="0" fontId="5" fillId="0" borderId="0" xfId="0" applyFont="1" applyAlignment="1">
      <alignment horizontal="left"/>
    </xf>
    <xf numFmtId="0" fontId="15" fillId="0" borderId="0" xfId="1" applyFont="1" applyFill="1" applyBorder="1" applyAlignment="1" applyProtection="1">
      <alignment horizontal="center" vertical="center"/>
    </xf>
    <xf numFmtId="0" fontId="5" fillId="0" borderId="0" xfId="0" applyFont="1" applyAlignment="1">
      <alignment vertical="top"/>
    </xf>
    <xf numFmtId="0" fontId="24" fillId="0" borderId="0" xfId="0" applyFont="1"/>
    <xf numFmtId="0" fontId="26" fillId="0" borderId="0" xfId="0" applyFont="1"/>
    <xf numFmtId="0" fontId="27" fillId="0" borderId="0" xfId="0" applyFont="1" applyAlignment="1">
      <alignment horizontal="center"/>
    </xf>
    <xf numFmtId="0" fontId="29" fillId="0" borderId="2" xfId="0" applyFont="1" applyBorder="1" applyAlignment="1">
      <alignment horizontal="center" wrapText="1"/>
    </xf>
    <xf numFmtId="0" fontId="27" fillId="0" borderId="0" xfId="0" applyFont="1" applyAlignment="1">
      <alignment horizontal="center" vertical="center"/>
    </xf>
    <xf numFmtId="0" fontId="30" fillId="0" borderId="6" xfId="0" applyFont="1" applyBorder="1" applyAlignment="1">
      <alignment horizontal="center" vertical="center"/>
    </xf>
    <xf numFmtId="0" fontId="32" fillId="0" borderId="0" xfId="0" applyFont="1" applyAlignment="1">
      <alignment vertical="top"/>
    </xf>
    <xf numFmtId="0" fontId="29" fillId="0" borderId="0" xfId="0" applyFont="1" applyAlignment="1">
      <alignment horizontal="center" vertical="top"/>
    </xf>
    <xf numFmtId="0" fontId="30" fillId="0" borderId="0" xfId="0" applyFont="1" applyAlignment="1">
      <alignment vertical="top"/>
    </xf>
    <xf numFmtId="0" fontId="32" fillId="0" borderId="0" xfId="0" applyFont="1"/>
    <xf numFmtId="0" fontId="29" fillId="0" borderId="0" xfId="0" applyFont="1" applyAlignment="1">
      <alignment horizontal="center"/>
    </xf>
    <xf numFmtId="0" fontId="29" fillId="0" borderId="1" xfId="0" applyFont="1" applyBorder="1" applyAlignment="1">
      <alignment horizontal="center" vertical="center"/>
    </xf>
    <xf numFmtId="0" fontId="29" fillId="0" borderId="0" xfId="0" applyFont="1" applyAlignment="1">
      <alignment horizontal="center" vertical="center" wrapText="1"/>
    </xf>
    <xf numFmtId="0" fontId="32" fillId="0" borderId="2" xfId="0" applyFont="1" applyBorder="1" applyAlignment="1">
      <alignment horizontal="center" vertical="center" wrapText="1"/>
    </xf>
    <xf numFmtId="0" fontId="29" fillId="0" borderId="3" xfId="0" applyFont="1" applyBorder="1" applyAlignment="1">
      <alignment horizontal="center" vertical="center"/>
    </xf>
    <xf numFmtId="0" fontId="29" fillId="0" borderId="4" xfId="0" applyFont="1" applyBorder="1" applyAlignment="1">
      <alignment horizontal="center" vertical="center"/>
    </xf>
    <xf numFmtId="0" fontId="32" fillId="0" borderId="0" xfId="0" applyFont="1" applyAlignment="1">
      <alignment vertical="center"/>
    </xf>
    <xf numFmtId="0" fontId="29" fillId="0" borderId="0" xfId="0" applyFont="1" applyAlignment="1">
      <alignment horizontal="center" vertical="center"/>
    </xf>
    <xf numFmtId="0" fontId="32" fillId="0" borderId="5" xfId="0" applyFont="1" applyBorder="1" applyAlignment="1">
      <alignment horizontal="center" vertical="top"/>
    </xf>
    <xf numFmtId="0" fontId="32" fillId="0" borderId="0" xfId="0" applyFont="1" applyAlignment="1">
      <alignment horizontal="center" vertical="center" wrapText="1"/>
    </xf>
    <xf numFmtId="0" fontId="32" fillId="0" borderId="6" xfId="0" applyFont="1" applyBorder="1" applyAlignment="1">
      <alignment horizontal="center" vertical="center" wrapText="1"/>
    </xf>
    <xf numFmtId="0" fontId="29" fillId="0" borderId="7" xfId="0" applyFont="1" applyBorder="1" applyAlignment="1">
      <alignment horizontal="center" vertical="top"/>
    </xf>
    <xf numFmtId="0" fontId="37" fillId="3" borderId="8" xfId="0" applyFont="1" applyFill="1" applyBorder="1" applyAlignment="1">
      <alignment horizontal="center" vertical="center"/>
    </xf>
    <xf numFmtId="14" fontId="37" fillId="3" borderId="9" xfId="0" applyNumberFormat="1" applyFont="1" applyFill="1" applyBorder="1" applyAlignment="1">
      <alignment horizontal="center" vertical="center"/>
    </xf>
    <xf numFmtId="14" fontId="37" fillId="3" borderId="10" xfId="0" applyNumberFormat="1" applyFont="1" applyFill="1" applyBorder="1" applyAlignment="1">
      <alignment horizontal="center" vertical="center"/>
    </xf>
    <xf numFmtId="0" fontId="37" fillId="3" borderId="9" xfId="0" applyFont="1" applyFill="1" applyBorder="1" applyAlignment="1">
      <alignment horizontal="center" vertical="center"/>
    </xf>
    <xf numFmtId="0" fontId="37" fillId="3" borderId="12" xfId="0" applyFont="1" applyFill="1" applyBorder="1" applyAlignment="1" applyProtection="1">
      <alignment horizontal="center" vertical="center"/>
      <protection locked="0"/>
    </xf>
    <xf numFmtId="0" fontId="36" fillId="3" borderId="11" xfId="0" applyFont="1" applyFill="1" applyBorder="1" applyAlignment="1">
      <alignment horizontal="center" vertical="center"/>
    </xf>
    <xf numFmtId="0" fontId="37" fillId="3" borderId="10" xfId="0" applyFont="1" applyFill="1" applyBorder="1" applyAlignment="1">
      <alignment horizontal="center" vertical="center"/>
    </xf>
    <xf numFmtId="0" fontId="38" fillId="0" borderId="13" xfId="0" applyFont="1" applyBorder="1" applyAlignment="1" applyProtection="1">
      <alignment horizontal="center" vertical="center"/>
      <protection locked="0"/>
    </xf>
    <xf numFmtId="0" fontId="39" fillId="2" borderId="14" xfId="0" applyFont="1" applyFill="1" applyBorder="1" applyAlignment="1">
      <alignment horizontal="center" vertical="center"/>
    </xf>
    <xf numFmtId="0" fontId="39" fillId="2" borderId="15" xfId="0" applyFont="1" applyFill="1" applyBorder="1" applyAlignment="1">
      <alignment horizontal="center" vertical="center"/>
    </xf>
    <xf numFmtId="0" fontId="39" fillId="2" borderId="17" xfId="0" applyFont="1" applyFill="1" applyBorder="1" applyAlignment="1">
      <alignment horizontal="center" vertical="center"/>
    </xf>
    <xf numFmtId="0" fontId="32" fillId="0" borderId="13" xfId="0" applyFont="1" applyBorder="1" applyAlignment="1" applyProtection="1">
      <alignment horizontal="right" vertical="center"/>
      <protection locked="0"/>
    </xf>
    <xf numFmtId="0" fontId="32" fillId="0" borderId="12" xfId="0" applyFont="1" applyBorder="1" applyAlignment="1" applyProtection="1">
      <alignment horizontal="right" vertical="center"/>
      <protection locked="0"/>
    </xf>
    <xf numFmtId="0" fontId="32" fillId="0" borderId="15" xfId="0" applyFont="1" applyBorder="1" applyAlignment="1" applyProtection="1">
      <alignment horizontal="right" vertical="center"/>
      <protection locked="0"/>
    </xf>
    <xf numFmtId="0" fontId="32" fillId="0" borderId="18" xfId="0" applyFont="1" applyBorder="1" applyAlignment="1" applyProtection="1">
      <alignment horizontal="right" vertical="center"/>
      <protection locked="0"/>
    </xf>
    <xf numFmtId="0" fontId="38" fillId="4" borderId="19" xfId="0" applyFont="1" applyFill="1" applyBorder="1" applyAlignment="1" applyProtection="1">
      <alignment horizontal="center" vertical="center"/>
      <protection locked="0"/>
    </xf>
    <xf numFmtId="0" fontId="39" fillId="5" borderId="14" xfId="0" applyFont="1" applyFill="1" applyBorder="1" applyAlignment="1">
      <alignment horizontal="center" vertical="center"/>
    </xf>
    <xf numFmtId="0" fontId="39" fillId="5" borderId="15" xfId="0" applyFont="1" applyFill="1" applyBorder="1" applyAlignment="1">
      <alignment horizontal="center" vertical="center"/>
    </xf>
    <xf numFmtId="0" fontId="39" fillId="5" borderId="17" xfId="0" applyFont="1" applyFill="1" applyBorder="1" applyAlignment="1">
      <alignment horizontal="center" vertical="center"/>
    </xf>
    <xf numFmtId="0" fontId="32" fillId="4" borderId="19" xfId="0" applyFont="1" applyFill="1" applyBorder="1" applyAlignment="1" applyProtection="1">
      <alignment horizontal="right" vertical="center"/>
      <protection locked="0"/>
    </xf>
    <xf numFmtId="0" fontId="32" fillId="4" borderId="16" xfId="0" applyFont="1" applyFill="1" applyBorder="1" applyAlignment="1" applyProtection="1">
      <alignment horizontal="right" vertical="center"/>
      <protection locked="0"/>
    </xf>
    <xf numFmtId="0" fontId="32" fillId="4" borderId="15" xfId="0" applyFont="1" applyFill="1" applyBorder="1" applyAlignment="1" applyProtection="1">
      <alignment horizontal="right" vertical="center"/>
      <protection locked="0"/>
    </xf>
    <xf numFmtId="0" fontId="32" fillId="4" borderId="20" xfId="0" applyFont="1" applyFill="1" applyBorder="1" applyAlignment="1" applyProtection="1">
      <alignment horizontal="right" vertical="center"/>
      <protection locked="0"/>
    </xf>
    <xf numFmtId="0" fontId="38" fillId="0" borderId="19" xfId="0" applyFont="1" applyBorder="1" applyAlignment="1" applyProtection="1">
      <alignment horizontal="center" vertical="center"/>
      <protection locked="0"/>
    </xf>
    <xf numFmtId="0" fontId="32" fillId="0" borderId="19" xfId="0" applyFont="1" applyBorder="1" applyAlignment="1" applyProtection="1">
      <alignment horizontal="right" vertical="center"/>
      <protection locked="0"/>
    </xf>
    <xf numFmtId="0" fontId="32" fillId="0" borderId="16" xfId="0" applyFont="1" applyBorder="1" applyAlignment="1" applyProtection="1">
      <alignment horizontal="right" vertical="center"/>
      <protection locked="0"/>
    </xf>
    <xf numFmtId="0" fontId="32" fillId="0" borderId="20" xfId="0" applyFont="1" applyBorder="1" applyAlignment="1" applyProtection="1">
      <alignment horizontal="right" vertical="center"/>
      <protection locked="0"/>
    </xf>
    <xf numFmtId="0" fontId="38" fillId="2" borderId="19" xfId="0" applyFont="1" applyFill="1" applyBorder="1" applyAlignment="1" applyProtection="1">
      <alignment horizontal="center" vertical="center"/>
      <protection locked="0"/>
    </xf>
    <xf numFmtId="0" fontId="32" fillId="2" borderId="19" xfId="0" applyFont="1" applyFill="1" applyBorder="1" applyAlignment="1" applyProtection="1">
      <alignment horizontal="right" vertical="center"/>
      <protection locked="0"/>
    </xf>
    <xf numFmtId="0" fontId="32" fillId="2" borderId="16" xfId="0" applyFont="1" applyFill="1" applyBorder="1" applyAlignment="1" applyProtection="1">
      <alignment horizontal="right" vertical="center"/>
      <protection locked="0"/>
    </xf>
    <xf numFmtId="0" fontId="32" fillId="4" borderId="16" xfId="0" applyFont="1" applyFill="1" applyBorder="1" applyAlignment="1">
      <alignment horizontal="right" vertical="center"/>
    </xf>
    <xf numFmtId="0" fontId="32" fillId="4" borderId="15" xfId="0" applyFont="1" applyFill="1" applyBorder="1" applyAlignment="1">
      <alignment horizontal="right" vertical="center"/>
    </xf>
    <xf numFmtId="0" fontId="32" fillId="0" borderId="16" xfId="0" applyFont="1" applyBorder="1" applyAlignment="1">
      <alignment horizontal="right" vertical="center"/>
    </xf>
    <xf numFmtId="0" fontId="32" fillId="0" borderId="15" xfId="0" applyFont="1" applyBorder="1" applyAlignment="1">
      <alignment horizontal="right" vertical="center"/>
    </xf>
    <xf numFmtId="0" fontId="38" fillId="0" borderId="21" xfId="0" applyFont="1" applyBorder="1" applyAlignment="1" applyProtection="1">
      <alignment horizontal="center" vertical="center"/>
      <protection locked="0"/>
    </xf>
    <xf numFmtId="0" fontId="39" fillId="2" borderId="22" xfId="0" applyFont="1" applyFill="1" applyBorder="1" applyAlignment="1">
      <alignment horizontal="center" vertical="center"/>
    </xf>
    <xf numFmtId="0" fontId="39" fillId="2" borderId="23" xfId="0" applyFont="1" applyFill="1" applyBorder="1" applyAlignment="1">
      <alignment horizontal="center" vertical="center"/>
    </xf>
    <xf numFmtId="0" fontId="39" fillId="2" borderId="25" xfId="0" applyFont="1" applyFill="1" applyBorder="1" applyAlignment="1">
      <alignment horizontal="center" vertical="center"/>
    </xf>
    <xf numFmtId="0" fontId="32" fillId="0" borderId="21" xfId="0" applyFont="1" applyBorder="1" applyAlignment="1" applyProtection="1">
      <alignment horizontal="right" vertical="center"/>
      <protection locked="0"/>
    </xf>
    <xf numFmtId="0" fontId="32" fillId="0" borderId="24" xfId="0" applyFont="1" applyBorder="1" applyAlignment="1">
      <alignment horizontal="right" vertical="center"/>
    </xf>
    <xf numFmtId="0" fontId="32" fillId="0" borderId="23" xfId="0" applyFont="1" applyBorder="1" applyAlignment="1">
      <alignment horizontal="right" vertical="center"/>
    </xf>
    <xf numFmtId="0" fontId="32" fillId="0" borderId="26" xfId="0" applyFont="1" applyBorder="1" applyAlignment="1" applyProtection="1">
      <alignment horizontal="right" vertical="center"/>
      <protection locked="0"/>
    </xf>
    <xf numFmtId="164" fontId="26" fillId="0" borderId="0" xfId="0" applyNumberFormat="1" applyFont="1"/>
    <xf numFmtId="2" fontId="26" fillId="0" borderId="0" xfId="0" applyNumberFormat="1" applyFont="1"/>
    <xf numFmtId="1" fontId="26" fillId="0" borderId="0" xfId="0" applyNumberFormat="1" applyFont="1"/>
    <xf numFmtId="3" fontId="26" fillId="0" borderId="0" xfId="0" applyNumberFormat="1" applyFont="1"/>
    <xf numFmtId="0" fontId="40" fillId="0" borderId="0" xfId="1" applyFont="1" applyFill="1" applyBorder="1" applyAlignment="1" applyProtection="1">
      <alignment horizontal="center" vertical="center" wrapText="1"/>
    </xf>
    <xf numFmtId="0" fontId="27" fillId="0" borderId="0" xfId="0" applyFont="1" applyAlignment="1">
      <alignment wrapText="1"/>
    </xf>
    <xf numFmtId="0" fontId="26" fillId="0" borderId="0" xfId="0" applyFont="1" applyAlignment="1">
      <alignment horizontal="left" wrapText="1"/>
    </xf>
    <xf numFmtId="164" fontId="26" fillId="0" borderId="0" xfId="0" applyNumberFormat="1" applyFont="1" applyAlignment="1">
      <alignment wrapText="1"/>
    </xf>
    <xf numFmtId="3" fontId="26" fillId="0" borderId="0" xfId="0" applyNumberFormat="1" applyFont="1" applyAlignment="1">
      <alignment wrapText="1"/>
    </xf>
    <xf numFmtId="0" fontId="26" fillId="0" borderId="0" xfId="0" applyFont="1" applyAlignment="1">
      <alignment wrapText="1"/>
    </xf>
    <xf numFmtId="0" fontId="23" fillId="0" borderId="0" xfId="1" applyFont="1" applyFill="1" applyBorder="1" applyAlignment="1" applyProtection="1">
      <alignment horizontal="center" vertical="center"/>
    </xf>
    <xf numFmtId="3" fontId="23" fillId="0" borderId="0" xfId="1" applyNumberFormat="1" applyFont="1" applyFill="1" applyBorder="1" applyAlignment="1" applyProtection="1">
      <alignment horizontal="center" vertical="center" wrapText="1"/>
    </xf>
    <xf numFmtId="164" fontId="26" fillId="0" borderId="0" xfId="0" applyNumberFormat="1" applyFont="1" applyAlignment="1">
      <alignment horizontal="left" wrapText="1"/>
    </xf>
    <xf numFmtId="2" fontId="26" fillId="0" borderId="0" xfId="0" applyNumberFormat="1" applyFont="1" applyAlignment="1">
      <alignment horizontal="left" wrapText="1"/>
    </xf>
    <xf numFmtId="1" fontId="26" fillId="0" borderId="0" xfId="0" applyNumberFormat="1" applyFont="1" applyAlignment="1">
      <alignment horizontal="left" wrapText="1"/>
    </xf>
    <xf numFmtId="0" fontId="27" fillId="6" borderId="3" xfId="0" applyFont="1" applyFill="1" applyBorder="1" applyAlignment="1">
      <alignment horizontal="center" vertical="center"/>
    </xf>
    <xf numFmtId="0" fontId="27" fillId="6" borderId="27" xfId="0" applyFont="1" applyFill="1" applyBorder="1" applyAlignment="1">
      <alignment horizontal="center" vertical="center"/>
    </xf>
    <xf numFmtId="164" fontId="27" fillId="6" borderId="27" xfId="0" applyNumberFormat="1" applyFont="1" applyFill="1" applyBorder="1" applyAlignment="1">
      <alignment horizontal="center" vertical="center"/>
    </xf>
    <xf numFmtId="164" fontId="27" fillId="6" borderId="4" xfId="0" applyNumberFormat="1" applyFont="1" applyFill="1" applyBorder="1" applyAlignment="1">
      <alignment horizontal="center" vertical="center"/>
    </xf>
    <xf numFmtId="2" fontId="27" fillId="6" borderId="4" xfId="0" applyNumberFormat="1" applyFont="1" applyFill="1" applyBorder="1" applyAlignment="1">
      <alignment horizontal="center" vertical="center"/>
    </xf>
    <xf numFmtId="3" fontId="27" fillId="6" borderId="4" xfId="0" applyNumberFormat="1" applyFont="1" applyFill="1" applyBorder="1" applyAlignment="1">
      <alignment horizontal="center" vertical="center"/>
    </xf>
    <xf numFmtId="0" fontId="27" fillId="6" borderId="2" xfId="0" applyFont="1" applyFill="1" applyBorder="1" applyAlignment="1">
      <alignment horizontal="center" vertical="center"/>
    </xf>
    <xf numFmtId="0" fontId="26" fillId="6" borderId="5" xfId="0" applyFont="1" applyFill="1" applyBorder="1" applyAlignment="1">
      <alignment horizontal="center" vertical="center"/>
    </xf>
    <xf numFmtId="164" fontId="26" fillId="6" borderId="28" xfId="0" applyNumberFormat="1" applyFont="1" applyFill="1" applyBorder="1" applyAlignment="1">
      <alignment horizontal="center" vertical="top"/>
    </xf>
    <xf numFmtId="164" fontId="26" fillId="6" borderId="29" xfId="0" applyNumberFormat="1" applyFont="1" applyFill="1" applyBorder="1" applyAlignment="1">
      <alignment horizontal="center" vertical="top"/>
    </xf>
    <xf numFmtId="2" fontId="26" fillId="6" borderId="29" xfId="0" applyNumberFormat="1" applyFont="1" applyFill="1" applyBorder="1" applyAlignment="1">
      <alignment horizontal="center" vertical="top"/>
    </xf>
    <xf numFmtId="3" fontId="26" fillId="6" borderId="29" xfId="0" applyNumberFormat="1" applyFont="1" applyFill="1" applyBorder="1" applyAlignment="1">
      <alignment horizontal="center" vertical="top"/>
    </xf>
    <xf numFmtId="0" fontId="42" fillId="6" borderId="30" xfId="0" applyFont="1" applyFill="1" applyBorder="1" applyAlignment="1">
      <alignment horizontal="center" vertical="top" wrapText="1"/>
    </xf>
    <xf numFmtId="0" fontId="31" fillId="3" borderId="3" xfId="0" applyFont="1" applyFill="1" applyBorder="1" applyAlignment="1">
      <alignment horizontal="center" vertical="center"/>
    </xf>
    <xf numFmtId="0" fontId="41" fillId="3" borderId="4" xfId="0" applyFont="1" applyFill="1" applyBorder="1" applyAlignment="1">
      <alignment horizontal="center" vertical="center"/>
    </xf>
    <xf numFmtId="0" fontId="31" fillId="3" borderId="27" xfId="0" applyFont="1" applyFill="1" applyBorder="1" applyAlignment="1">
      <alignment horizontal="center" vertical="center"/>
    </xf>
    <xf numFmtId="0" fontId="31" fillId="3" borderId="4" xfId="0" applyFont="1" applyFill="1" applyBorder="1" applyAlignment="1">
      <alignment horizontal="center" vertical="center"/>
    </xf>
    <xf numFmtId="0" fontId="31" fillId="3" borderId="2" xfId="0" applyFont="1" applyFill="1" applyBorder="1" applyAlignment="1">
      <alignment horizontal="center" vertical="center" wrapText="1"/>
    </xf>
    <xf numFmtId="0" fontId="26" fillId="2" borderId="19" xfId="0" applyFont="1" applyFill="1" applyBorder="1" applyAlignment="1" applyProtection="1">
      <alignment horizontal="center" vertical="center"/>
      <protection locked="0"/>
    </xf>
    <xf numFmtId="0" fontId="26" fillId="0" borderId="16" xfId="0" applyFont="1" applyBorder="1" applyAlignment="1" applyProtection="1">
      <alignment horizontal="center" vertical="center"/>
      <protection locked="0"/>
    </xf>
    <xf numFmtId="164" fontId="26" fillId="4" borderId="20" xfId="0" applyNumberFormat="1" applyFont="1" applyFill="1" applyBorder="1" applyAlignment="1" applyProtection="1">
      <alignment horizontal="center" vertical="center"/>
      <protection locked="0"/>
    </xf>
    <xf numFmtId="164" fontId="26" fillId="0" borderId="16" xfId="0" applyNumberFormat="1" applyFont="1" applyBorder="1" applyAlignment="1" applyProtection="1">
      <alignment horizontal="center" vertical="center"/>
      <protection locked="0"/>
    </xf>
    <xf numFmtId="1" fontId="26" fillId="0" borderId="16" xfId="0" applyNumberFormat="1" applyFont="1" applyBorder="1" applyAlignment="1" applyProtection="1">
      <alignment horizontal="center" vertical="center"/>
      <protection locked="0"/>
    </xf>
    <xf numFmtId="1" fontId="26" fillId="2" borderId="20" xfId="0" applyNumberFormat="1" applyFont="1" applyFill="1" applyBorder="1" applyAlignment="1" applyProtection="1">
      <alignment horizontal="center" vertical="center"/>
      <protection locked="0"/>
    </xf>
    <xf numFmtId="3" fontId="26" fillId="0" borderId="16" xfId="0" applyNumberFormat="1" applyFont="1" applyBorder="1" applyAlignment="1" applyProtection="1">
      <alignment horizontal="center" vertical="center"/>
      <protection locked="0"/>
    </xf>
    <xf numFmtId="3" fontId="26" fillId="0" borderId="16" xfId="0" applyNumberFormat="1" applyFont="1" applyBorder="1" applyAlignment="1">
      <alignment horizontal="center" vertical="center"/>
    </xf>
    <xf numFmtId="0" fontId="26" fillId="0" borderId="15" xfId="0" applyFont="1" applyBorder="1" applyAlignment="1" applyProtection="1">
      <alignment horizontal="center" vertical="center"/>
      <protection locked="0"/>
    </xf>
    <xf numFmtId="0" fontId="26" fillId="4" borderId="19" xfId="0" applyFont="1" applyFill="1" applyBorder="1" applyAlignment="1" applyProtection="1">
      <alignment horizontal="center" vertical="center"/>
      <protection locked="0"/>
    </xf>
    <xf numFmtId="0" fontId="26" fillId="4" borderId="16" xfId="0" applyFont="1" applyFill="1" applyBorder="1" applyAlignment="1" applyProtection="1">
      <alignment horizontal="center" vertical="center"/>
      <protection locked="0"/>
    </xf>
    <xf numFmtId="164" fontId="26" fillId="4" borderId="16" xfId="0" applyNumberFormat="1" applyFont="1" applyFill="1" applyBorder="1" applyAlignment="1" applyProtection="1">
      <alignment horizontal="center" vertical="center"/>
      <protection locked="0"/>
    </xf>
    <xf numFmtId="1" fontId="26" fillId="4" borderId="16" xfId="0" applyNumberFormat="1" applyFont="1" applyFill="1" applyBorder="1" applyAlignment="1" applyProtection="1">
      <alignment horizontal="center" vertical="center"/>
      <protection locked="0"/>
    </xf>
    <xf numFmtId="1" fontId="26" fillId="5" borderId="20" xfId="0" applyNumberFormat="1" applyFont="1" applyFill="1" applyBorder="1" applyAlignment="1" applyProtection="1">
      <alignment horizontal="center" vertical="center"/>
      <protection locked="0"/>
    </xf>
    <xf numFmtId="3" fontId="26" fillId="4" borderId="16" xfId="0" applyNumberFormat="1" applyFont="1" applyFill="1" applyBorder="1" applyAlignment="1" applyProtection="1">
      <alignment horizontal="center" vertical="center"/>
      <protection locked="0"/>
    </xf>
    <xf numFmtId="3" fontId="26" fillId="4" borderId="16" xfId="0" applyNumberFormat="1" applyFont="1" applyFill="1" applyBorder="1" applyAlignment="1">
      <alignment horizontal="center" vertical="center"/>
    </xf>
    <xf numFmtId="0" fontId="26" fillId="4" borderId="15" xfId="0" applyFont="1" applyFill="1" applyBorder="1" applyAlignment="1" applyProtection="1">
      <alignment horizontal="center" vertical="center"/>
      <protection locked="0"/>
    </xf>
    <xf numFmtId="164" fontId="26" fillId="0" borderId="20" xfId="0" applyNumberFormat="1" applyFont="1" applyBorder="1" applyAlignment="1" applyProtection="1">
      <alignment horizontal="center" vertical="center"/>
      <protection locked="0"/>
    </xf>
    <xf numFmtId="1" fontId="26" fillId="0" borderId="20" xfId="0" applyNumberFormat="1" applyFont="1" applyBorder="1" applyAlignment="1" applyProtection="1">
      <alignment horizontal="center" vertical="center"/>
      <protection locked="0"/>
    </xf>
    <xf numFmtId="0" fontId="26" fillId="0" borderId="19" xfId="0" applyFont="1" applyBorder="1" applyAlignment="1" applyProtection="1">
      <alignment horizontal="center" vertical="center"/>
      <protection locked="0"/>
    </xf>
    <xf numFmtId="1" fontId="26" fillId="0" borderId="20" xfId="0" quotePrefix="1" applyNumberFormat="1" applyFont="1" applyBorder="1" applyAlignment="1" applyProtection="1">
      <alignment horizontal="center" vertical="center"/>
      <protection locked="0"/>
    </xf>
    <xf numFmtId="0" fontId="26" fillId="5" borderId="19" xfId="0" applyFont="1" applyFill="1" applyBorder="1" applyAlignment="1" applyProtection="1">
      <alignment horizontal="center" vertical="center"/>
      <protection locked="0"/>
    </xf>
    <xf numFmtId="0" fontId="26" fillId="5" borderId="16" xfId="0" applyFont="1" applyFill="1" applyBorder="1" applyAlignment="1" applyProtection="1">
      <alignment horizontal="center" vertical="center"/>
      <protection locked="0"/>
    </xf>
    <xf numFmtId="0" fontId="26" fillId="5" borderId="15" xfId="0" applyFont="1" applyFill="1" applyBorder="1" applyAlignment="1" applyProtection="1">
      <alignment horizontal="center" vertical="center"/>
      <protection locked="0"/>
    </xf>
    <xf numFmtId="0" fontId="26" fillId="2" borderId="16" xfId="0" applyFont="1" applyFill="1" applyBorder="1" applyAlignment="1" applyProtection="1">
      <alignment horizontal="center" vertical="center"/>
      <protection locked="0"/>
    </xf>
    <xf numFmtId="0" fontId="26" fillId="2" borderId="15" xfId="0" applyFont="1" applyFill="1" applyBorder="1" applyAlignment="1" applyProtection="1">
      <alignment horizontal="center" vertical="center"/>
      <protection locked="0"/>
    </xf>
    <xf numFmtId="0" fontId="26" fillId="0" borderId="16" xfId="0" applyFont="1" applyBorder="1" applyAlignment="1">
      <alignment horizontal="center" vertical="center"/>
    </xf>
    <xf numFmtId="0" fontId="26" fillId="0" borderId="15" xfId="0" applyFont="1" applyBorder="1" applyAlignment="1">
      <alignment horizontal="center" vertical="center"/>
    </xf>
    <xf numFmtId="0" fontId="26" fillId="5" borderId="16" xfId="0" applyFont="1" applyFill="1" applyBorder="1" applyAlignment="1">
      <alignment horizontal="center" vertical="center"/>
    </xf>
    <xf numFmtId="0" fontId="26" fillId="5" borderId="15" xfId="0" applyFont="1" applyFill="1" applyBorder="1" applyAlignment="1">
      <alignment horizontal="center" vertical="center"/>
    </xf>
    <xf numFmtId="3" fontId="26" fillId="5" borderId="16" xfId="0" applyNumberFormat="1" applyFont="1" applyFill="1" applyBorder="1" applyAlignment="1" applyProtection="1">
      <alignment horizontal="center" vertical="center"/>
      <protection locked="0"/>
    </xf>
    <xf numFmtId="0" fontId="26" fillId="5" borderId="21" xfId="0" applyFont="1" applyFill="1" applyBorder="1" applyAlignment="1" applyProtection="1">
      <alignment horizontal="center" vertical="center"/>
      <protection locked="0"/>
    </xf>
    <xf numFmtId="0" fontId="26" fillId="5" borderId="24" xfId="0" applyFont="1" applyFill="1" applyBorder="1" applyAlignment="1">
      <alignment horizontal="center" vertical="center"/>
    </xf>
    <xf numFmtId="164" fontId="26" fillId="0" borderId="26" xfId="0" applyNumberFormat="1" applyFont="1" applyBorder="1" applyAlignment="1" applyProtection="1">
      <alignment horizontal="center" vertical="center"/>
      <protection locked="0"/>
    </xf>
    <xf numFmtId="164" fontId="26" fillId="0" borderId="24" xfId="0" applyNumberFormat="1" applyFont="1" applyBorder="1" applyAlignment="1" applyProtection="1">
      <alignment horizontal="center" vertical="center"/>
      <protection locked="0"/>
    </xf>
    <xf numFmtId="1" fontId="26" fillId="0" borderId="24" xfId="0" applyNumberFormat="1" applyFont="1" applyBorder="1" applyAlignment="1" applyProtection="1">
      <alignment horizontal="center" vertical="center"/>
      <protection locked="0"/>
    </xf>
    <xf numFmtId="1" fontId="26" fillId="5" borderId="24" xfId="0" applyNumberFormat="1" applyFont="1" applyFill="1" applyBorder="1" applyAlignment="1" applyProtection="1">
      <alignment horizontal="center" vertical="center"/>
      <protection locked="0"/>
    </xf>
    <xf numFmtId="3" fontId="26" fillId="0" borderId="24" xfId="0" applyNumberFormat="1" applyFont="1" applyBorder="1" applyAlignment="1" applyProtection="1">
      <alignment horizontal="center" vertical="center"/>
      <protection locked="0"/>
    </xf>
    <xf numFmtId="3" fontId="26" fillId="0" borderId="24" xfId="0" applyNumberFormat="1" applyFont="1" applyBorder="1" applyAlignment="1">
      <alignment horizontal="center" vertical="center"/>
    </xf>
    <xf numFmtId="0" fontId="26" fillId="5" borderId="23" xfId="0" applyFont="1" applyFill="1" applyBorder="1" applyAlignment="1">
      <alignment horizontal="center" vertical="center"/>
    </xf>
    <xf numFmtId="0" fontId="23" fillId="0" borderId="0" xfId="1" applyFont="1" applyFill="1" applyBorder="1" applyAlignment="1" applyProtection="1">
      <alignment horizontal="center" vertical="center" wrapText="1"/>
    </xf>
    <xf numFmtId="0" fontId="44" fillId="0" borderId="0" xfId="0" applyFont="1" applyAlignment="1">
      <alignment vertical="center"/>
    </xf>
    <xf numFmtId="0" fontId="42" fillId="6" borderId="28" xfId="0" applyFont="1" applyFill="1" applyBorder="1" applyAlignment="1">
      <alignment horizontal="center" vertical="top" wrapText="1"/>
    </xf>
    <xf numFmtId="0" fontId="45" fillId="0" borderId="0" xfId="0" applyFont="1" applyAlignment="1">
      <alignment vertical="center"/>
    </xf>
    <xf numFmtId="0" fontId="47" fillId="0" borderId="0" xfId="0" applyFont="1" applyAlignment="1">
      <alignment vertical="center"/>
    </xf>
    <xf numFmtId="0" fontId="47" fillId="0" borderId="0" xfId="0" applyFont="1"/>
    <xf numFmtId="0" fontId="48" fillId="0" borderId="0" xfId="0" applyFont="1"/>
    <xf numFmtId="0" fontId="50" fillId="0" borderId="0" xfId="0" applyFont="1"/>
    <xf numFmtId="0" fontId="47" fillId="0" borderId="46" xfId="0" applyFont="1" applyBorder="1"/>
    <xf numFmtId="0" fontId="47" fillId="2" borderId="0" xfId="0" applyFont="1" applyFill="1" applyAlignment="1">
      <alignment horizontal="center" vertical="center"/>
    </xf>
    <xf numFmtId="0" fontId="52" fillId="2" borderId="0" xfId="0" applyFont="1" applyFill="1" applyAlignment="1">
      <alignment horizontal="center" vertical="center"/>
    </xf>
    <xf numFmtId="0" fontId="53" fillId="2" borderId="0" xfId="0" applyFont="1" applyFill="1"/>
    <xf numFmtId="0" fontId="50" fillId="2" borderId="0" xfId="0" applyFont="1" applyFill="1" applyAlignment="1">
      <alignment horizontal="center" vertical="center" wrapText="1"/>
    </xf>
    <xf numFmtId="0" fontId="50" fillId="2" borderId="0" xfId="0" applyFont="1" applyFill="1" applyAlignment="1">
      <alignment horizontal="center" vertical="center"/>
    </xf>
    <xf numFmtId="165" fontId="32" fillId="0" borderId="35" xfId="0" applyNumberFormat="1" applyFont="1" applyBorder="1" applyAlignment="1">
      <alignment horizontal="center" vertical="top"/>
    </xf>
    <xf numFmtId="0" fontId="37" fillId="3" borderId="67" xfId="0" applyFont="1" applyFill="1" applyBorder="1" applyAlignment="1">
      <alignment horizontal="center" vertical="center"/>
    </xf>
    <xf numFmtId="0" fontId="39" fillId="2" borderId="37" xfId="0" applyFont="1" applyFill="1" applyBorder="1" applyAlignment="1">
      <alignment horizontal="center" vertical="center"/>
    </xf>
    <xf numFmtId="165" fontId="29" fillId="0" borderId="32" xfId="0" applyNumberFormat="1" applyFont="1" applyBorder="1" applyAlignment="1">
      <alignment horizontal="center" vertical="center" wrapText="1"/>
    </xf>
    <xf numFmtId="165" fontId="29" fillId="0" borderId="68" xfId="0" applyNumberFormat="1" applyFont="1" applyBorder="1" applyAlignment="1">
      <alignment horizontal="center" vertical="center" wrapText="1"/>
    </xf>
    <xf numFmtId="165" fontId="32" fillId="0" borderId="69" xfId="0" applyNumberFormat="1" applyFont="1" applyBorder="1" applyAlignment="1">
      <alignment horizontal="center" vertical="top"/>
    </xf>
    <xf numFmtId="0" fontId="37" fillId="3" borderId="70" xfId="0" applyFont="1" applyFill="1" applyBorder="1" applyAlignment="1">
      <alignment horizontal="center" vertical="center"/>
    </xf>
    <xf numFmtId="0" fontId="39" fillId="2" borderId="71" xfId="0" applyFont="1" applyFill="1" applyBorder="1" applyAlignment="1">
      <alignment horizontal="center" vertical="center"/>
    </xf>
    <xf numFmtId="0" fontId="39" fillId="5" borderId="71" xfId="0" applyFont="1" applyFill="1" applyBorder="1" applyAlignment="1">
      <alignment horizontal="center" vertical="center"/>
    </xf>
    <xf numFmtId="0" fontId="39" fillId="2" borderId="72" xfId="0" applyFont="1" applyFill="1" applyBorder="1" applyAlignment="1">
      <alignment horizontal="center" vertical="center"/>
    </xf>
    <xf numFmtId="0" fontId="39" fillId="2" borderId="73" xfId="0" applyFont="1" applyFill="1" applyBorder="1" applyAlignment="1">
      <alignment horizontal="center" vertical="center"/>
    </xf>
    <xf numFmtId="14" fontId="39" fillId="2" borderId="15" xfId="0" applyNumberFormat="1" applyFont="1" applyFill="1" applyBorder="1" applyAlignment="1">
      <alignment horizontal="center" vertical="center"/>
    </xf>
    <xf numFmtId="14" fontId="39" fillId="5" borderId="15" xfId="0" applyNumberFormat="1" applyFont="1" applyFill="1" applyBorder="1" applyAlignment="1">
      <alignment horizontal="center" vertical="center"/>
    </xf>
    <xf numFmtId="0" fontId="46" fillId="0" borderId="0" xfId="0" applyFont="1" applyAlignment="1">
      <alignment horizontal="left" vertical="center"/>
    </xf>
    <xf numFmtId="0" fontId="51" fillId="7" borderId="31" xfId="1" applyFont="1" applyFill="1" applyBorder="1" applyAlignment="1" applyProtection="1">
      <alignment horizontal="center" vertical="center" wrapText="1"/>
    </xf>
    <xf numFmtId="0" fontId="51" fillId="7" borderId="32" xfId="1" applyFont="1" applyFill="1" applyBorder="1" applyAlignment="1" applyProtection="1">
      <alignment horizontal="center" vertical="center" wrapText="1"/>
    </xf>
    <xf numFmtId="0" fontId="51" fillId="7" borderId="33" xfId="1" applyFont="1" applyFill="1" applyBorder="1" applyAlignment="1" applyProtection="1">
      <alignment horizontal="center" vertical="center" wrapText="1"/>
    </xf>
    <xf numFmtId="0" fontId="51" fillId="7" borderId="34" xfId="1" applyFont="1" applyFill="1" applyBorder="1" applyAlignment="1" applyProtection="1">
      <alignment horizontal="center" vertical="center" wrapText="1"/>
    </xf>
    <xf numFmtId="0" fontId="51" fillId="7" borderId="35" xfId="1" applyFont="1" applyFill="1" applyBorder="1" applyAlignment="1" applyProtection="1">
      <alignment horizontal="center" vertical="center" wrapText="1"/>
    </xf>
    <xf numFmtId="0" fontId="51" fillId="7" borderId="36" xfId="1" applyFont="1" applyFill="1" applyBorder="1" applyAlignment="1" applyProtection="1">
      <alignment horizontal="center" vertical="center" wrapText="1"/>
    </xf>
    <xf numFmtId="0" fontId="51" fillId="13" borderId="47" xfId="1" applyFont="1" applyFill="1" applyBorder="1" applyAlignment="1" applyProtection="1">
      <alignment horizontal="center" vertical="center" wrapText="1"/>
    </xf>
    <xf numFmtId="0" fontId="51" fillId="13" borderId="48" xfId="1" applyFont="1" applyFill="1" applyBorder="1" applyAlignment="1" applyProtection="1">
      <alignment horizontal="center" vertical="center" wrapText="1"/>
    </xf>
    <xf numFmtId="0" fontId="51" fillId="13" borderId="49" xfId="1" applyFont="1" applyFill="1" applyBorder="1" applyAlignment="1" applyProtection="1">
      <alignment horizontal="center" vertical="center" wrapText="1"/>
    </xf>
    <xf numFmtId="0" fontId="51" fillId="13" borderId="50" xfId="1" applyFont="1" applyFill="1" applyBorder="1" applyAlignment="1" applyProtection="1">
      <alignment horizontal="center" vertical="center" wrapText="1"/>
    </xf>
    <xf numFmtId="0" fontId="51" fillId="13" borderId="51" xfId="1" applyFont="1" applyFill="1" applyBorder="1" applyAlignment="1" applyProtection="1">
      <alignment horizontal="center" vertical="center" wrapText="1"/>
    </xf>
    <xf numFmtId="0" fontId="51" fillId="13" borderId="52" xfId="1" applyFont="1" applyFill="1" applyBorder="1" applyAlignment="1" applyProtection="1">
      <alignment horizontal="center" vertical="center" wrapText="1"/>
    </xf>
    <xf numFmtId="0" fontId="49" fillId="0" borderId="37" xfId="0" applyFont="1" applyBorder="1" applyAlignment="1" applyProtection="1">
      <alignment horizontal="left" vertical="center"/>
      <protection locked="0"/>
    </xf>
    <xf numFmtId="0" fontId="49" fillId="0" borderId="17" xfId="0" applyFont="1" applyBorder="1" applyAlignment="1" applyProtection="1">
      <alignment horizontal="left" vertical="center"/>
      <protection locked="0"/>
    </xf>
    <xf numFmtId="165" fontId="32" fillId="0" borderId="34" xfId="0" applyNumberFormat="1" applyFont="1" applyBorder="1" applyAlignment="1">
      <alignment horizontal="center" vertical="top"/>
    </xf>
    <xf numFmtId="165" fontId="32" fillId="0" borderId="36" xfId="0" applyNumberFormat="1" applyFont="1" applyBorder="1" applyAlignment="1">
      <alignment horizontal="center" vertical="top"/>
    </xf>
    <xf numFmtId="0" fontId="29" fillId="6" borderId="38" xfId="0" applyFont="1" applyFill="1" applyBorder="1" applyAlignment="1">
      <alignment horizontal="center" vertical="center"/>
    </xf>
    <xf numFmtId="0" fontId="29" fillId="6" borderId="39" xfId="0" applyFont="1" applyFill="1" applyBorder="1" applyAlignment="1">
      <alignment horizontal="center" vertical="center"/>
    </xf>
    <xf numFmtId="0" fontId="29" fillId="6" borderId="40" xfId="0" applyFont="1" applyFill="1" applyBorder="1" applyAlignment="1">
      <alignment horizontal="center" vertical="center"/>
    </xf>
    <xf numFmtId="0" fontId="36" fillId="0" borderId="0" xfId="0" applyFont="1" applyAlignment="1">
      <alignment horizontal="right" wrapText="1"/>
    </xf>
    <xf numFmtId="0" fontId="36" fillId="0" borderId="41" xfId="0" applyFont="1" applyBorder="1" applyAlignment="1">
      <alignment horizontal="right" wrapText="1"/>
    </xf>
    <xf numFmtId="0" fontId="19" fillId="13" borderId="59" xfId="1" applyFont="1" applyFill="1" applyBorder="1" applyAlignment="1" applyProtection="1">
      <alignment horizontal="center" vertical="center" wrapText="1"/>
    </xf>
    <xf numFmtId="0" fontId="19" fillId="13" borderId="60" xfId="1" applyFont="1" applyFill="1" applyBorder="1" applyAlignment="1" applyProtection="1">
      <alignment horizontal="center" vertical="center" wrapText="1"/>
    </xf>
    <xf numFmtId="0" fontId="19" fillId="13" borderId="61" xfId="1" applyFont="1" applyFill="1" applyBorder="1" applyAlignment="1" applyProtection="1">
      <alignment horizontal="center" vertical="center" wrapText="1"/>
    </xf>
    <xf numFmtId="0" fontId="19" fillId="13" borderId="62" xfId="1" applyFont="1" applyFill="1" applyBorder="1" applyAlignment="1" applyProtection="1">
      <alignment horizontal="center" vertical="center" wrapText="1"/>
    </xf>
    <xf numFmtId="0" fontId="19" fillId="13" borderId="0" xfId="1" applyFont="1" applyFill="1" applyBorder="1" applyAlignment="1" applyProtection="1">
      <alignment horizontal="center" vertical="center" wrapText="1"/>
    </xf>
    <xf numFmtId="0" fontId="19" fillId="13" borderId="63" xfId="1" applyFont="1" applyFill="1" applyBorder="1" applyAlignment="1" applyProtection="1">
      <alignment horizontal="center" vertical="center" wrapText="1"/>
    </xf>
    <xf numFmtId="165" fontId="29" fillId="0" borderId="31" xfId="0" applyNumberFormat="1" applyFont="1" applyBorder="1" applyAlignment="1">
      <alignment horizontal="center" vertical="center"/>
    </xf>
    <xf numFmtId="165" fontId="29" fillId="0" borderId="33" xfId="0" applyNumberFormat="1" applyFont="1" applyBorder="1" applyAlignment="1">
      <alignment horizontal="center" vertical="center"/>
    </xf>
    <xf numFmtId="0" fontId="29" fillId="9" borderId="38" xfId="0" applyFont="1" applyFill="1" applyBorder="1" applyAlignment="1">
      <alignment horizontal="center" vertical="center"/>
    </xf>
    <xf numFmtId="0" fontId="29" fillId="9" borderId="39" xfId="0" applyFont="1" applyFill="1" applyBorder="1" applyAlignment="1">
      <alignment horizontal="center" vertical="center"/>
    </xf>
    <xf numFmtId="0" fontId="29" fillId="9" borderId="40" xfId="0" applyFont="1" applyFill="1" applyBorder="1" applyAlignment="1">
      <alignment horizontal="center" vertical="center"/>
    </xf>
    <xf numFmtId="0" fontId="20" fillId="7" borderId="53" xfId="1" applyFont="1" applyFill="1" applyBorder="1" applyAlignment="1" applyProtection="1">
      <alignment horizontal="center" vertical="center" wrapText="1"/>
    </xf>
    <xf numFmtId="0" fontId="20" fillId="7" borderId="54" xfId="1" applyFont="1" applyFill="1" applyBorder="1" applyAlignment="1" applyProtection="1">
      <alignment horizontal="center" vertical="center" wrapText="1"/>
    </xf>
    <xf numFmtId="0" fontId="20" fillId="7" borderId="55" xfId="1" applyFont="1" applyFill="1" applyBorder="1" applyAlignment="1" applyProtection="1">
      <alignment horizontal="center" vertical="center" wrapText="1"/>
    </xf>
    <xf numFmtId="0" fontId="20" fillId="7" borderId="56" xfId="1" applyFont="1" applyFill="1" applyBorder="1" applyAlignment="1" applyProtection="1">
      <alignment horizontal="center" vertical="center" wrapText="1"/>
    </xf>
    <xf numFmtId="0" fontId="20" fillId="7" borderId="57" xfId="1" applyFont="1" applyFill="1" applyBorder="1" applyAlignment="1" applyProtection="1">
      <alignment horizontal="center" vertical="center" wrapText="1"/>
    </xf>
    <xf numFmtId="0" fontId="20" fillId="7" borderId="58" xfId="1" applyFont="1" applyFill="1" applyBorder="1" applyAlignment="1" applyProtection="1">
      <alignment horizontal="center" vertical="center" wrapText="1"/>
    </xf>
    <xf numFmtId="0" fontId="19" fillId="13" borderId="64" xfId="1" applyFont="1" applyFill="1" applyBorder="1" applyAlignment="1" applyProtection="1">
      <alignment horizontal="center" vertical="center" wrapText="1"/>
    </xf>
    <xf numFmtId="0" fontId="19" fillId="13" borderId="65" xfId="1" applyFont="1" applyFill="1" applyBorder="1" applyAlignment="1" applyProtection="1">
      <alignment horizontal="center" vertical="center" wrapText="1"/>
    </xf>
    <xf numFmtId="0" fontId="19" fillId="13" borderId="66" xfId="1" applyFont="1" applyFill="1" applyBorder="1" applyAlignment="1" applyProtection="1">
      <alignment horizontal="center" vertical="center" wrapText="1"/>
    </xf>
    <xf numFmtId="0" fontId="20" fillId="12" borderId="38" xfId="1" applyFont="1" applyFill="1" applyBorder="1" applyAlignment="1" applyProtection="1">
      <alignment horizontal="center" vertical="center"/>
    </xf>
    <xf numFmtId="0" fontId="20" fillId="12" borderId="39" xfId="1" applyFont="1" applyFill="1" applyBorder="1" applyAlignment="1" applyProtection="1">
      <alignment horizontal="center" vertical="center"/>
    </xf>
    <xf numFmtId="0" fontId="20" fillId="12" borderId="40" xfId="1" applyFont="1" applyFill="1" applyBorder="1" applyAlignment="1" applyProtection="1">
      <alignment horizontal="center" vertical="center"/>
    </xf>
    <xf numFmtId="0" fontId="29" fillId="8" borderId="3" xfId="0" applyFont="1" applyFill="1" applyBorder="1" applyAlignment="1">
      <alignment horizontal="center" vertical="center"/>
    </xf>
    <xf numFmtId="0" fontId="29" fillId="8" borderId="4" xfId="0" applyFont="1" applyFill="1" applyBorder="1" applyAlignment="1">
      <alignment horizontal="center" vertical="center"/>
    </xf>
    <xf numFmtId="0" fontId="29" fillId="8" borderId="2" xfId="0" applyFont="1" applyFill="1" applyBorder="1" applyAlignment="1">
      <alignment horizontal="center" vertical="center"/>
    </xf>
    <xf numFmtId="0" fontId="20" fillId="12" borderId="31" xfId="1" applyFont="1" applyFill="1" applyBorder="1" applyAlignment="1" applyProtection="1">
      <alignment horizontal="center" vertical="center" wrapText="1"/>
    </xf>
    <xf numFmtId="0" fontId="20" fillId="12" borderId="32" xfId="1" applyFont="1" applyFill="1" applyBorder="1" applyAlignment="1" applyProtection="1">
      <alignment horizontal="center" vertical="center" wrapText="1"/>
    </xf>
    <xf numFmtId="0" fontId="20" fillId="12" borderId="33" xfId="1" applyFont="1" applyFill="1" applyBorder="1" applyAlignment="1" applyProtection="1">
      <alignment horizontal="center" vertical="center" wrapText="1"/>
    </xf>
    <xf numFmtId="0" fontId="20" fillId="12" borderId="34" xfId="1" applyFont="1" applyFill="1" applyBorder="1" applyAlignment="1" applyProtection="1">
      <alignment horizontal="center" vertical="center" wrapText="1"/>
    </xf>
    <xf numFmtId="0" fontId="20" fillId="12" borderId="35" xfId="1" applyFont="1" applyFill="1" applyBorder="1" applyAlignment="1" applyProtection="1">
      <alignment horizontal="center" vertical="center" wrapText="1"/>
    </xf>
    <xf numFmtId="0" fontId="20" fillId="12" borderId="36" xfId="1" applyFont="1" applyFill="1" applyBorder="1" applyAlignment="1" applyProtection="1">
      <alignment horizontal="center" vertical="center" wrapText="1"/>
    </xf>
    <xf numFmtId="3" fontId="27" fillId="11" borderId="4" xfId="0" applyNumberFormat="1" applyFont="1" applyFill="1" applyBorder="1" applyAlignment="1">
      <alignment horizontal="center" vertical="center" wrapText="1"/>
    </xf>
    <xf numFmtId="3" fontId="27" fillId="11" borderId="7" xfId="0" applyNumberFormat="1" applyFont="1" applyFill="1" applyBorder="1" applyAlignment="1">
      <alignment horizontal="center" vertical="center" wrapText="1"/>
    </xf>
    <xf numFmtId="0" fontId="20" fillId="7" borderId="42" xfId="1" applyFont="1" applyFill="1" applyBorder="1" applyAlignment="1" applyProtection="1">
      <alignment horizontal="center" vertical="center" wrapText="1"/>
    </xf>
    <xf numFmtId="0" fontId="20" fillId="7" borderId="43" xfId="1" applyFont="1" applyFill="1" applyBorder="1" applyAlignment="1" applyProtection="1">
      <alignment horizontal="center" vertical="center" wrapText="1"/>
    </xf>
    <xf numFmtId="0" fontId="20" fillId="7" borderId="44" xfId="1" applyFont="1" applyFill="1" applyBorder="1" applyAlignment="1" applyProtection="1">
      <alignment horizontal="center" vertical="center" wrapText="1"/>
    </xf>
    <xf numFmtId="0" fontId="20" fillId="7" borderId="18" xfId="1" applyFont="1" applyFill="1" applyBorder="1" applyAlignment="1" applyProtection="1">
      <alignment horizontal="center" vertical="center" wrapText="1"/>
    </xf>
    <xf numFmtId="3" fontId="23" fillId="0" borderId="0" xfId="1" applyNumberFormat="1" applyFont="1" applyFill="1" applyBorder="1" applyAlignment="1" applyProtection="1">
      <alignment horizontal="center" vertical="center" wrapText="1"/>
    </xf>
    <xf numFmtId="0" fontId="43" fillId="0" borderId="0" xfId="0" applyFont="1" applyAlignment="1">
      <alignment horizontal="right" vertical="center" wrapText="1"/>
    </xf>
    <xf numFmtId="0" fontId="43" fillId="0" borderId="41" xfId="0" applyFont="1" applyBorder="1" applyAlignment="1">
      <alignment horizontal="right" vertical="center" wrapText="1"/>
    </xf>
    <xf numFmtId="0" fontId="20" fillId="12" borderId="31" xfId="1" applyFont="1" applyFill="1" applyBorder="1" applyAlignment="1" applyProtection="1">
      <alignment horizontal="center" vertical="center"/>
    </xf>
    <xf numFmtId="0" fontId="20" fillId="12" borderId="32" xfId="1" applyFont="1" applyFill="1" applyBorder="1" applyAlignment="1" applyProtection="1">
      <alignment horizontal="center" vertical="center"/>
    </xf>
    <xf numFmtId="0" fontId="20" fillId="12" borderId="33" xfId="1" applyFont="1" applyFill="1" applyBorder="1" applyAlignment="1" applyProtection="1">
      <alignment horizontal="center" vertical="center"/>
    </xf>
    <xf numFmtId="0" fontId="20" fillId="12" borderId="45" xfId="1" applyFont="1" applyFill="1" applyBorder="1" applyAlignment="1" applyProtection="1">
      <alignment horizontal="center" vertical="center"/>
    </xf>
    <xf numFmtId="0" fontId="20" fillId="12" borderId="0" xfId="1" applyFont="1" applyFill="1" applyBorder="1" applyAlignment="1" applyProtection="1">
      <alignment horizontal="center" vertical="center"/>
    </xf>
    <xf numFmtId="0" fontId="20" fillId="12" borderId="41" xfId="1" applyFont="1" applyFill="1" applyBorder="1" applyAlignment="1" applyProtection="1">
      <alignment horizontal="center" vertical="center"/>
    </xf>
    <xf numFmtId="0" fontId="20" fillId="12" borderId="34" xfId="1" applyFont="1" applyFill="1" applyBorder="1" applyAlignment="1" applyProtection="1">
      <alignment horizontal="center" vertical="center"/>
    </xf>
    <xf numFmtId="0" fontId="20" fillId="12" borderId="35" xfId="1" applyFont="1" applyFill="1" applyBorder="1" applyAlignment="1" applyProtection="1">
      <alignment horizontal="center" vertical="center"/>
    </xf>
    <xf numFmtId="0" fontId="20" fillId="12" borderId="36" xfId="1" applyFont="1" applyFill="1" applyBorder="1" applyAlignment="1" applyProtection="1">
      <alignment horizontal="center" vertical="center"/>
    </xf>
    <xf numFmtId="0" fontId="23" fillId="0" borderId="0" xfId="1" applyFont="1" applyFill="1" applyBorder="1" applyAlignment="1" applyProtection="1">
      <alignment horizontal="center" vertical="center" wrapText="1"/>
    </xf>
    <xf numFmtId="0" fontId="18" fillId="2" borderId="0" xfId="0" applyFont="1" applyFill="1" applyAlignment="1">
      <alignment horizontal="center"/>
    </xf>
    <xf numFmtId="0" fontId="16" fillId="2" borderId="0" xfId="1" applyFont="1" applyFill="1" applyAlignment="1" applyProtection="1">
      <alignment horizontal="center"/>
    </xf>
    <xf numFmtId="0" fontId="17" fillId="2" borderId="0" xfId="1" applyFont="1" applyFill="1" applyBorder="1" applyAlignment="1" applyProtection="1">
      <alignment horizontal="center" vertical="center"/>
    </xf>
    <xf numFmtId="0" fontId="21" fillId="12" borderId="31" xfId="1" applyFont="1" applyFill="1" applyBorder="1" applyAlignment="1" applyProtection="1">
      <alignment horizontal="center" vertical="center"/>
    </xf>
    <xf numFmtId="0" fontId="22" fillId="12" borderId="32" xfId="1" applyFont="1" applyFill="1" applyBorder="1" applyAlignment="1" applyProtection="1">
      <alignment horizontal="center" vertical="center"/>
    </xf>
    <xf numFmtId="0" fontId="22" fillId="12" borderId="33" xfId="1" applyFont="1" applyFill="1" applyBorder="1" applyAlignment="1" applyProtection="1">
      <alignment horizontal="center" vertical="center"/>
    </xf>
    <xf numFmtId="0" fontId="22" fillId="12" borderId="34" xfId="1" applyFont="1" applyFill="1" applyBorder="1" applyAlignment="1" applyProtection="1">
      <alignment horizontal="center" vertical="center"/>
    </xf>
    <xf numFmtId="0" fontId="22" fillId="12" borderId="35" xfId="1" applyFont="1" applyFill="1" applyBorder="1" applyAlignment="1" applyProtection="1">
      <alignment horizontal="center" vertical="center"/>
    </xf>
    <xf numFmtId="0" fontId="22" fillId="12" borderId="36" xfId="1" applyFont="1" applyFill="1" applyBorder="1" applyAlignment="1" applyProtection="1">
      <alignment horizontal="center" vertical="center"/>
    </xf>
    <xf numFmtId="0" fontId="21" fillId="12" borderId="32" xfId="1" applyFont="1" applyFill="1" applyBorder="1" applyAlignment="1" applyProtection="1">
      <alignment horizontal="center" vertical="center"/>
    </xf>
    <xf numFmtId="0" fontId="21" fillId="12" borderId="33" xfId="1" applyFont="1" applyFill="1" applyBorder="1" applyAlignment="1" applyProtection="1">
      <alignment horizontal="center" vertical="center"/>
    </xf>
    <xf numFmtId="0" fontId="21" fillId="12" borderId="34" xfId="1" applyFont="1" applyFill="1" applyBorder="1" applyAlignment="1" applyProtection="1">
      <alignment horizontal="center" vertical="center"/>
    </xf>
    <xf numFmtId="0" fontId="21" fillId="12" borderId="35" xfId="1" applyFont="1" applyFill="1" applyBorder="1" applyAlignment="1" applyProtection="1">
      <alignment horizontal="center" vertical="center"/>
    </xf>
    <xf numFmtId="0" fontId="21" fillId="12" borderId="36" xfId="1" applyFont="1" applyFill="1" applyBorder="1" applyAlignment="1" applyProtection="1">
      <alignment horizontal="center" vertical="center"/>
    </xf>
    <xf numFmtId="0" fontId="20" fillId="12" borderId="45" xfId="1" applyFont="1" applyFill="1" applyBorder="1" applyAlignment="1" applyProtection="1">
      <alignment horizontal="center" vertical="center" wrapText="1"/>
    </xf>
    <xf numFmtId="0" fontId="20" fillId="12" borderId="0" xfId="1" applyFont="1" applyFill="1" applyBorder="1" applyAlignment="1" applyProtection="1">
      <alignment horizontal="center" vertical="center" wrapText="1"/>
    </xf>
    <xf numFmtId="0" fontId="20" fillId="12" borderId="41" xfId="1" applyFont="1" applyFill="1" applyBorder="1" applyAlignment="1" applyProtection="1">
      <alignment horizontal="center" vertical="center" wrapText="1"/>
    </xf>
    <xf numFmtId="0" fontId="23" fillId="12" borderId="32" xfId="1" applyFont="1" applyFill="1" applyBorder="1" applyAlignment="1" applyProtection="1">
      <alignment horizontal="center" vertical="center" wrapText="1"/>
    </xf>
    <xf numFmtId="0" fontId="23" fillId="12" borderId="33" xfId="1" applyFont="1" applyFill="1" applyBorder="1" applyAlignment="1" applyProtection="1">
      <alignment horizontal="center" vertical="center" wrapText="1"/>
    </xf>
    <xf numFmtId="0" fontId="23" fillId="12" borderId="45" xfId="1" applyFont="1" applyFill="1" applyBorder="1" applyAlignment="1" applyProtection="1">
      <alignment horizontal="center" vertical="center" wrapText="1"/>
    </xf>
    <xf numFmtId="0" fontId="23" fillId="12" borderId="0" xfId="1" applyFont="1" applyFill="1" applyBorder="1" applyAlignment="1" applyProtection="1">
      <alignment horizontal="center" vertical="center" wrapText="1"/>
    </xf>
    <xf numFmtId="0" fontId="23" fillId="12" borderId="41" xfId="1" applyFont="1" applyFill="1" applyBorder="1" applyAlignment="1" applyProtection="1">
      <alignment horizontal="center" vertical="center" wrapText="1"/>
    </xf>
    <xf numFmtId="0" fontId="23" fillId="12" borderId="34" xfId="1" applyFont="1" applyFill="1" applyBorder="1" applyAlignment="1" applyProtection="1">
      <alignment horizontal="center" vertical="center" wrapText="1"/>
    </xf>
    <xf numFmtId="0" fontId="23" fillId="12" borderId="35" xfId="1" applyFont="1" applyFill="1" applyBorder="1" applyAlignment="1" applyProtection="1">
      <alignment horizontal="center" vertical="center" wrapText="1"/>
    </xf>
    <xf numFmtId="0" fontId="23" fillId="12" borderId="36" xfId="1" applyFont="1" applyFill="1" applyBorder="1" applyAlignment="1" applyProtection="1">
      <alignment horizontal="center" vertical="center" wrapText="1"/>
    </xf>
    <xf numFmtId="0" fontId="0" fillId="10" borderId="0" xfId="0" applyFill="1" applyAlignment="1">
      <alignment horizontal="center"/>
    </xf>
  </cellXfs>
  <cellStyles count="2">
    <cellStyle name="Hyperlink" xfId="1" builtinId="8"/>
    <cellStyle name="Normal" xfId="0" builtinId="0"/>
  </cellStyles>
  <dxfs count="31">
    <dxf>
      <fill>
        <patternFill>
          <bgColor rgb="FFF79646"/>
        </patternFill>
      </fill>
    </dxf>
    <dxf>
      <fill>
        <patternFill patternType="solid">
          <bgColor theme="0" tint="-0.14996795556505021"/>
        </patternFill>
      </fill>
    </dxf>
    <dxf>
      <fill>
        <patternFill patternType="none">
          <bgColor auto="1"/>
        </patternFill>
      </fill>
    </dxf>
    <dxf>
      <fill>
        <patternFill patternType="none">
          <bgColor auto="1"/>
        </patternFill>
      </fill>
    </dxf>
    <dxf>
      <fill>
        <patternFill>
          <bgColor rgb="FFF79646"/>
        </patternFill>
      </fill>
    </dxf>
    <dxf>
      <fill>
        <patternFill>
          <bgColor rgb="FFF79646"/>
        </patternFill>
      </fill>
    </dxf>
    <dxf>
      <fill>
        <patternFill>
          <bgColor theme="0" tint="-0.14996795556505021"/>
        </patternFill>
      </fill>
    </dxf>
    <dxf>
      <fill>
        <patternFill>
          <bgColor rgb="FFF79646"/>
        </patternFill>
      </fill>
    </dxf>
    <dxf>
      <fill>
        <patternFill>
          <bgColor theme="0"/>
        </patternFill>
      </fill>
    </dxf>
    <dxf>
      <fill>
        <patternFill>
          <bgColor theme="9"/>
        </patternFill>
      </fill>
    </dxf>
    <dxf>
      <fill>
        <patternFill>
          <bgColor theme="0" tint="-0.14996795556505021"/>
        </patternFill>
      </fill>
    </dxf>
    <dxf>
      <fill>
        <patternFill>
          <bgColor theme="0" tint="-0.14996795556505021"/>
        </patternFill>
      </fill>
    </dxf>
    <dxf>
      <fill>
        <patternFill>
          <bgColor theme="9"/>
        </patternFill>
      </fill>
    </dxf>
    <dxf>
      <fill>
        <patternFill>
          <bgColor theme="0"/>
        </patternFill>
      </fill>
    </dxf>
    <dxf>
      <fill>
        <patternFill patternType="none">
          <bgColor auto="1"/>
        </patternFill>
      </fill>
    </dxf>
    <dxf>
      <numFmt numFmtId="164" formatCode="0.0"/>
      <fill>
        <patternFill>
          <bgColor theme="0" tint="-0.14996795556505021"/>
        </patternFill>
      </fill>
    </dxf>
    <dxf>
      <numFmt numFmtId="164" formatCode="0.0"/>
      <fill>
        <patternFill>
          <bgColor theme="9"/>
        </patternFill>
      </fill>
    </dxf>
    <dxf>
      <fill>
        <patternFill patternType="none">
          <bgColor auto="1"/>
        </patternFill>
      </fill>
    </dxf>
    <dxf>
      <font>
        <strike val="0"/>
      </font>
      <fill>
        <patternFill>
          <bgColor theme="9" tint="-0.24994659260841701"/>
        </patternFill>
      </fill>
    </dxf>
    <dxf>
      <fill>
        <patternFill>
          <bgColor theme="9" tint="-0.24994659260841701"/>
        </patternFill>
      </fill>
    </dxf>
    <dxf>
      <numFmt numFmtId="1" formatCode="0"/>
      <fill>
        <patternFill>
          <bgColor theme="0" tint="-0.14996795556505021"/>
        </patternFill>
      </fill>
    </dxf>
    <dxf>
      <numFmt numFmtId="1" formatCode="0"/>
      <fill>
        <patternFill>
          <bgColor theme="9"/>
        </patternFill>
      </fill>
    </dxf>
    <dxf>
      <numFmt numFmtId="1" formatCode="0"/>
      <fill>
        <patternFill patternType="none">
          <bgColor auto="1"/>
        </patternFill>
      </fill>
    </dxf>
    <dxf>
      <fill>
        <patternFill>
          <bgColor theme="0" tint="-0.14996795556505021"/>
        </patternFill>
      </fill>
    </dxf>
    <dxf>
      <fill>
        <patternFill>
          <bgColor theme="9"/>
        </patternFill>
      </fill>
    </dxf>
    <dxf>
      <fill>
        <patternFill patternType="none">
          <bgColor auto="1"/>
        </patternFill>
      </fill>
    </dxf>
    <dxf>
      <numFmt numFmtId="1" formatCode="0"/>
      <fill>
        <patternFill>
          <bgColor theme="0" tint="-0.14996795556505021"/>
        </patternFill>
      </fill>
    </dxf>
    <dxf>
      <fill>
        <patternFill patternType="none">
          <bgColor auto="1"/>
        </patternFill>
      </fill>
    </dxf>
    <dxf>
      <fill>
        <patternFill>
          <bgColor theme="0" tint="-0.14996795556505021"/>
        </patternFill>
      </fill>
    </dxf>
    <dxf>
      <fill>
        <patternFill>
          <bgColor theme="9"/>
        </patternFill>
      </fill>
    </dxf>
    <dxf>
      <fill>
        <patternFill patternType="none">
          <bgColor auto="1"/>
        </patternFill>
      </fill>
    </dxf>
  </dxfs>
  <tableStyles count="0" defaultTableStyle="TableStyleMedium9" defaultPivotStyle="PivotStyleLight16"/>
  <colors>
    <mruColors>
      <color rgb="FF00BECE"/>
      <color rgb="FFFFFF99"/>
      <color rgb="FF6FCC0D"/>
      <color rgb="FFF796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323850</xdr:colOff>
      <xdr:row>2</xdr:row>
      <xdr:rowOff>129541</xdr:rowOff>
    </xdr:from>
    <xdr:to>
      <xdr:col>7</xdr:col>
      <xdr:colOff>388501</xdr:colOff>
      <xdr:row>2</xdr:row>
      <xdr:rowOff>129541</xdr:rowOff>
    </xdr:to>
    <xdr:cxnSp macro="">
      <xdr:nvCxnSpPr>
        <xdr:cNvPr id="7" name="Gerade Verbindung 6">
          <a:extLst>
            <a:ext uri="{FF2B5EF4-FFF2-40B4-BE49-F238E27FC236}">
              <a16:creationId xmlns:a16="http://schemas.microsoft.com/office/drawing/2014/main" id="{00000000-0008-0000-0000-000007000000}"/>
            </a:ext>
          </a:extLst>
        </xdr:cNvPr>
        <xdr:cNvCxnSpPr/>
      </xdr:nvCxnSpPr>
      <xdr:spPr>
        <a:xfrm flipH="1">
          <a:off x="323850" y="510541"/>
          <a:ext cx="6732151" cy="0"/>
        </a:xfrm>
        <a:prstGeom prst="line">
          <a:avLst/>
        </a:prstGeom>
        <a:ln>
          <a:gradFill flip="none" rotWithShape="1">
            <a:gsLst>
              <a:gs pos="0">
                <a:srgbClr val="00BECE"/>
              </a:gs>
              <a:gs pos="100000">
                <a:srgbClr val="6FCC0D"/>
              </a:gs>
            </a:gsLst>
            <a:lin ang="10800000" scaled="1"/>
            <a:tileRect/>
          </a:gradFill>
          <a:headEnd type="oval"/>
          <a:tailEnd type="oval"/>
        </a:ln>
        <a:effectLst/>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180973</xdr:colOff>
      <xdr:row>23</xdr:row>
      <xdr:rowOff>9526</xdr:rowOff>
    </xdr:from>
    <xdr:to>
      <xdr:col>11</xdr:col>
      <xdr:colOff>209550</xdr:colOff>
      <xdr:row>30</xdr:row>
      <xdr:rowOff>104775</xdr:rowOff>
    </xdr:to>
    <xdr:sp macro="" textlink="">
      <xdr:nvSpPr>
        <xdr:cNvPr id="14" name="Textfeld 13">
          <a:extLst>
            <a:ext uri="{FF2B5EF4-FFF2-40B4-BE49-F238E27FC236}">
              <a16:creationId xmlns:a16="http://schemas.microsoft.com/office/drawing/2014/main" id="{00000000-0008-0000-0000-00000E000000}"/>
            </a:ext>
          </a:extLst>
        </xdr:cNvPr>
        <xdr:cNvSpPr txBox="1"/>
      </xdr:nvSpPr>
      <xdr:spPr>
        <a:xfrm>
          <a:off x="180973" y="5381626"/>
          <a:ext cx="11039477" cy="1781174"/>
        </a:xfrm>
        <a:prstGeom prst="rect">
          <a:avLst/>
        </a:prstGeom>
        <a:solidFill>
          <a:sysClr val="window" lastClr="FFFFFF"/>
        </a:solidFill>
        <a:ln w="19050" cmpd="sng">
          <a:gradFill flip="none" rotWithShape="1">
            <a:gsLst>
              <a:gs pos="0">
                <a:srgbClr val="6FCC0D"/>
              </a:gs>
              <a:gs pos="100000">
                <a:srgbClr val="00BECE"/>
              </a:gs>
            </a:gsLst>
            <a:lin ang="10800000" scaled="1"/>
            <a:tileRect/>
          </a:gradFill>
        </a:ln>
        <a:effectLst/>
      </xdr:spPr>
      <xdr:txBody>
        <a:bodyPr vertOverflow="clip" wrap="square" rtlCol="0" anchor="t"/>
        <a:lstStyle/>
        <a:p>
          <a:pPr marL="0" marR="0" lvl="0" indent="0" defTabSz="914400" eaLnBrk="1" fontAlgn="auto" latinLnBrk="0" hangingPunct="1">
            <a:lnSpc>
              <a:spcPts val="300"/>
            </a:lnSpc>
            <a:spcBef>
              <a:spcPts val="0"/>
            </a:spcBef>
            <a:spcAft>
              <a:spcPts val="0"/>
            </a:spcAft>
            <a:buClrTx/>
            <a:buSzTx/>
            <a:buFontTx/>
            <a:buNone/>
            <a:tabLst/>
            <a:defRPr/>
          </a:pPr>
          <a:endParaRPr kumimoji="0" lang="de-DE" sz="4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72000" marR="0" lvl="0" indent="0" defTabSz="914400" eaLnBrk="1" fontAlgn="auto" latinLnBrk="0" hangingPunct="1">
            <a:lnSpc>
              <a:spcPts val="2100"/>
            </a:lnSpc>
            <a:spcBef>
              <a:spcPts val="600"/>
            </a:spcBef>
            <a:spcAft>
              <a:spcPts val="0"/>
            </a:spcAft>
            <a:buClrTx/>
            <a:buSzTx/>
            <a:buFontTx/>
            <a:buNone/>
            <a:tabLst/>
            <a:defRPr/>
          </a:pPr>
          <a:r>
            <a:rPr kumimoji="0" lang="de-DE" sz="11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Fragen und/oder Problemen mit der Dateneingabe wir Ihnen gerne weiter.</a:t>
          </a:r>
        </a:p>
        <a:p>
          <a:pPr marL="72000" marR="0" lvl="0" indent="0" defTabSz="914400" eaLnBrk="1" fontAlgn="auto" latinLnBrk="0" hangingPunct="1">
            <a:lnSpc>
              <a:spcPts val="2100"/>
            </a:lnSpc>
            <a:spcBef>
              <a:spcPts val="600"/>
            </a:spcBef>
            <a:spcAft>
              <a:spcPts val="600"/>
            </a:spcAft>
            <a:buClrTx/>
            <a:buSzTx/>
            <a:buFontTx/>
            <a:buNone/>
            <a:tabLst/>
            <a:defRPr/>
          </a:pPr>
          <a:r>
            <a:rPr kumimoji="0" lang="de-DE" sz="1100" b="1"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Ansprechpartner</a:t>
          </a:r>
          <a:r>
            <a:rPr kumimoji="0" lang="de-DE" sz="110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Herr Alexander Hoffmann	▪     Telefon</a:t>
          </a:r>
          <a:r>
            <a:rPr kumimoji="0" lang="de-DE" sz="1100" b="1"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r>
            <a:rPr kumimoji="0" lang="de-DE" sz="110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0361 340 54 52</a:t>
          </a:r>
          <a:r>
            <a:rPr kumimoji="0" lang="de-DE" sz="1100" b="1"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r>
            <a:rPr kumimoji="0" lang="de-DE" sz="110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E-Mail: a.hoffmann@lsb-thueringen.de </a:t>
          </a:r>
        </a:p>
        <a:p>
          <a:pPr marL="72000" marR="0" lvl="0" indent="0" defTabSz="914400" eaLnBrk="1" fontAlgn="auto" latinLnBrk="0" hangingPunct="1">
            <a:lnSpc>
              <a:spcPts val="1500"/>
            </a:lnSpc>
            <a:spcBef>
              <a:spcPts val="0"/>
            </a:spcBef>
            <a:spcAft>
              <a:spcPts val="600"/>
            </a:spcAft>
            <a:buClrTx/>
            <a:buSzTx/>
            <a:buFontTx/>
            <a:buNone/>
            <a:tabLst/>
            <a:defRPr/>
          </a:pPr>
          <a:r>
            <a:rPr kumimoji="0" lang="de-DE" sz="110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Herr Florian Bähr	▪     Telefon: 03641 9 456 73	▪     E-Mail: florian.baehr@uni-jena.de </a:t>
          </a:r>
        </a:p>
        <a:p>
          <a:pPr marL="72000" marR="0" lvl="0" indent="0" defTabSz="914400" eaLnBrk="1" fontAlgn="auto" latinLnBrk="0" hangingPunct="1">
            <a:lnSpc>
              <a:spcPts val="2700"/>
            </a:lnSpc>
            <a:spcBef>
              <a:spcPts val="600"/>
            </a:spcBef>
            <a:spcAft>
              <a:spcPts val="0"/>
            </a:spcAft>
            <a:buClrTx/>
            <a:buSzTx/>
            <a:buFontTx/>
            <a:buNone/>
            <a:tabLst/>
            <a:defRPr/>
          </a:pPr>
          <a:r>
            <a:rPr kumimoji="0" lang="de-DE" sz="16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ausgefüllte Datenmaske senden Sie bitte als E-Mail-Anhang an:  </a:t>
          </a:r>
          <a:r>
            <a:rPr kumimoji="0" lang="de-DE" sz="1600" b="1" i="0" u="none"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florian.baehr@uni-jena.de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84858</xdr:colOff>
      <xdr:row>1</xdr:row>
      <xdr:rowOff>173875</xdr:rowOff>
    </xdr:from>
    <xdr:to>
      <xdr:col>12</xdr:col>
      <xdr:colOff>666750</xdr:colOff>
      <xdr:row>10</xdr:row>
      <xdr:rowOff>9525</xdr:rowOff>
    </xdr:to>
    <xdr:sp macro="" textlink="">
      <xdr:nvSpPr>
        <xdr:cNvPr id="3" name="Textfeld 2">
          <a:extLst>
            <a:ext uri="{FF2B5EF4-FFF2-40B4-BE49-F238E27FC236}">
              <a16:creationId xmlns:a16="http://schemas.microsoft.com/office/drawing/2014/main" id="{00000000-0008-0000-0100-000003000000}"/>
            </a:ext>
          </a:extLst>
        </xdr:cNvPr>
        <xdr:cNvSpPr txBox="1"/>
      </xdr:nvSpPr>
      <xdr:spPr>
        <a:xfrm>
          <a:off x="742083" y="592975"/>
          <a:ext cx="7830417" cy="20359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DE" sz="1400" b="1" i="0" u="none" baseline="0">
              <a:solidFill>
                <a:schemeClr val="dk1"/>
              </a:solidFill>
              <a:latin typeface="Arial" panose="020B0604020202020204" pitchFamily="34" charset="0"/>
              <a:ea typeface="+mn-ea"/>
              <a:cs typeface="Arial" panose="020B0604020202020204" pitchFamily="34" charset="0"/>
            </a:rPr>
            <a:t>Bitte beachten:</a:t>
          </a:r>
          <a:endParaRPr lang="de-DE" sz="100" b="0" i="0" baseline="0">
            <a:solidFill>
              <a:schemeClr val="dk1"/>
            </a:solidFill>
            <a:latin typeface="Arial" panose="020B0604020202020204" pitchFamily="34" charset="0"/>
            <a:ea typeface="+mn-ea"/>
            <a:cs typeface="Arial" panose="020B0604020202020204" pitchFamily="34" charset="0"/>
          </a:endParaRPr>
        </a:p>
        <a:p>
          <a:pPr>
            <a:lnSpc>
              <a:spcPts val="1500"/>
            </a:lnSpc>
          </a:pPr>
          <a:r>
            <a:rPr lang="de-DE" sz="1200" b="0" i="0" baseline="0">
              <a:solidFill>
                <a:schemeClr val="dk1"/>
              </a:solidFill>
              <a:latin typeface="Arial" panose="020B0604020202020204" pitchFamily="34" charset="0"/>
              <a:ea typeface="+mn-ea"/>
              <a:cs typeface="Arial" panose="020B0604020202020204" pitchFamily="34" charset="0"/>
            </a:rPr>
            <a:t>Weisen </a:t>
          </a:r>
          <a:r>
            <a:rPr lang="de-DE" sz="1200" b="1" i="0" u="sng" baseline="0">
              <a:solidFill>
                <a:schemeClr val="dk1"/>
              </a:solidFill>
              <a:latin typeface="Arial" panose="020B0604020202020204" pitchFamily="34" charset="0"/>
              <a:ea typeface="+mn-ea"/>
              <a:cs typeface="Arial" panose="020B0604020202020204" pitchFamily="34" charset="0"/>
            </a:rPr>
            <a:t>Sie</a:t>
          </a:r>
          <a:r>
            <a:rPr lang="de-DE" sz="1200" b="0" i="0" baseline="0">
              <a:solidFill>
                <a:schemeClr val="dk1"/>
              </a:solidFill>
              <a:latin typeface="Arial" panose="020B0604020202020204" pitchFamily="34" charset="0"/>
              <a:ea typeface="+mn-ea"/>
              <a:cs typeface="Arial" panose="020B0604020202020204" pitchFamily="34" charset="0"/>
            </a:rPr>
            <a:t> aus Gründen des Datenschutzes bitte jeder Schülerin / jedem Schüler einen </a:t>
          </a:r>
          <a:r>
            <a:rPr lang="de-DE" sz="1200" b="1" i="0" u="sng" baseline="0">
              <a:solidFill>
                <a:schemeClr val="dk1"/>
              </a:solidFill>
              <a:latin typeface="Arial" panose="020B0604020202020204" pitchFamily="34" charset="0"/>
              <a:ea typeface="+mn-ea"/>
              <a:cs typeface="Arial" panose="020B0604020202020204" pitchFamily="34" charset="0"/>
            </a:rPr>
            <a:t>Code</a:t>
          </a:r>
          <a:r>
            <a:rPr lang="de-DE" sz="1200" b="1" i="0" baseline="0">
              <a:solidFill>
                <a:schemeClr val="dk1"/>
              </a:solidFill>
              <a:latin typeface="Arial" panose="020B0604020202020204" pitchFamily="34" charset="0"/>
              <a:ea typeface="+mn-ea"/>
              <a:cs typeface="Arial" panose="020B0604020202020204" pitchFamily="34" charset="0"/>
            </a:rPr>
            <a:t> </a:t>
          </a:r>
          <a:r>
            <a:rPr lang="de-DE" sz="1200" b="0" i="0" baseline="0">
              <a:solidFill>
                <a:schemeClr val="dk1"/>
              </a:solidFill>
              <a:latin typeface="Arial" panose="020B0604020202020204" pitchFamily="34" charset="0"/>
              <a:ea typeface="+mn-ea"/>
              <a:cs typeface="Arial" panose="020B0604020202020204" pitchFamily="34" charset="0"/>
            </a:rPr>
            <a:t>zu und notieren Sie sich diesen für die spätere Zuordnung der Ergebnisse. Zur Absicherung hinterlegen Sie bitte auch eine Liste über die Zuordnung (</a:t>
          </a:r>
          <a:r>
            <a:rPr lang="de-DE" sz="1200" b="1" i="0" baseline="0">
              <a:solidFill>
                <a:schemeClr val="dk1"/>
              </a:solidFill>
              <a:latin typeface="Arial" panose="020B0604020202020204" pitchFamily="34" charset="0"/>
              <a:ea typeface="+mn-ea"/>
              <a:cs typeface="Arial" panose="020B0604020202020204" pitchFamily="34" charset="0"/>
            </a:rPr>
            <a:t>Schülernamen &gt; Codes</a:t>
          </a:r>
          <a:r>
            <a:rPr lang="de-DE" sz="1200" b="0" i="0" baseline="0">
              <a:solidFill>
                <a:schemeClr val="dk1"/>
              </a:solidFill>
              <a:latin typeface="Arial" panose="020B0604020202020204" pitchFamily="34" charset="0"/>
              <a:ea typeface="+mn-ea"/>
              <a:cs typeface="Arial" panose="020B0604020202020204" pitchFamily="34" charset="0"/>
            </a:rPr>
            <a:t>) im Sekretariat!</a:t>
          </a:r>
          <a:endParaRPr lang="de-DE" sz="100" b="0" i="0" u="sng" baseline="0">
            <a:solidFill>
              <a:schemeClr val="dk1"/>
            </a:solidFill>
            <a:latin typeface="Arial" panose="020B0604020202020204" pitchFamily="34" charset="0"/>
            <a:ea typeface="+mn-ea"/>
            <a:cs typeface="Arial" panose="020B0604020202020204" pitchFamily="34" charset="0"/>
          </a:endParaRPr>
        </a:p>
        <a:p>
          <a:pPr>
            <a:lnSpc>
              <a:spcPts val="2600"/>
            </a:lnSpc>
            <a:spcBef>
              <a:spcPts val="600"/>
            </a:spcBef>
            <a:spcAft>
              <a:spcPts val="600"/>
            </a:spcAft>
          </a:pPr>
          <a:r>
            <a:rPr lang="de-DE" sz="1200" b="1" i="0" u="sng" baseline="0">
              <a:solidFill>
                <a:schemeClr val="dk1"/>
              </a:solidFill>
              <a:latin typeface="Arial" panose="020B0604020202020204" pitchFamily="34" charset="0"/>
              <a:ea typeface="+mn-ea"/>
              <a:cs typeface="Arial" panose="020B0604020202020204" pitchFamily="34" charset="0"/>
            </a:rPr>
            <a:t>Code</a:t>
          </a:r>
          <a:r>
            <a:rPr lang="de-DE" sz="1200" b="0" i="0" baseline="0">
              <a:solidFill>
                <a:schemeClr val="dk1"/>
              </a:solidFill>
              <a:latin typeface="Arial" panose="020B0604020202020204" pitchFamily="34" charset="0"/>
              <a:ea typeface="+mn-ea"/>
              <a:cs typeface="Arial" panose="020B0604020202020204" pitchFamily="34" charset="0"/>
            </a:rPr>
            <a:t>: </a:t>
          </a:r>
          <a:r>
            <a:rPr lang="de-DE" sz="1200" b="1" i="0" baseline="0">
              <a:solidFill>
                <a:schemeClr val="dk1"/>
              </a:solidFill>
              <a:latin typeface="Arial" panose="020B0604020202020204" pitchFamily="34" charset="0"/>
              <a:ea typeface="+mn-ea"/>
              <a:cs typeface="Arial" panose="020B0604020202020204" pitchFamily="34" charset="0"/>
            </a:rPr>
            <a:t>max.</a:t>
          </a:r>
          <a:r>
            <a:rPr lang="de-DE" sz="1200" b="0" i="0" baseline="0">
              <a:solidFill>
                <a:schemeClr val="dk1"/>
              </a:solidFill>
              <a:latin typeface="Arial" panose="020B0604020202020204" pitchFamily="34" charset="0"/>
              <a:ea typeface="+mn-ea"/>
              <a:cs typeface="Arial" panose="020B0604020202020204" pitchFamily="34" charset="0"/>
            </a:rPr>
            <a:t> </a:t>
          </a:r>
          <a:r>
            <a:rPr lang="de-DE" sz="1200" b="1" i="0" baseline="0">
              <a:solidFill>
                <a:schemeClr val="dk1"/>
              </a:solidFill>
              <a:latin typeface="Arial" panose="020B0604020202020204" pitchFamily="34" charset="0"/>
              <a:ea typeface="+mn-ea"/>
              <a:cs typeface="Arial" panose="020B0604020202020204" pitchFamily="34" charset="0"/>
            </a:rPr>
            <a:t>fünf</a:t>
          </a:r>
          <a:r>
            <a:rPr lang="de-DE" sz="1200" b="0" i="0" baseline="0">
              <a:solidFill>
                <a:schemeClr val="dk1"/>
              </a:solidFill>
              <a:latin typeface="Arial" panose="020B0604020202020204" pitchFamily="34" charset="0"/>
              <a:ea typeface="+mn-ea"/>
              <a:cs typeface="Arial" panose="020B0604020202020204" pitchFamily="34" charset="0"/>
            </a:rPr>
            <a:t> Buchstaben und/oder Ziffern, z. B. Durchnummerierung "1, 2, 3,...27, 28".</a:t>
          </a:r>
          <a:endParaRPr lang="de-DE" sz="1200" b="1">
            <a:latin typeface="Arial" panose="020B0604020202020204" pitchFamily="34" charset="0"/>
            <a:cs typeface="Arial" panose="020B0604020202020204" pitchFamily="34" charset="0"/>
          </a:endParaRPr>
        </a:p>
        <a:p>
          <a:pPr>
            <a:lnSpc>
              <a:spcPts val="1600"/>
            </a:lnSpc>
            <a:spcAft>
              <a:spcPts val="300"/>
            </a:spcAft>
          </a:pPr>
          <a:r>
            <a:rPr lang="de-DE" sz="1200" b="1" u="none">
              <a:solidFill>
                <a:srgbClr val="C00000"/>
              </a:solidFill>
              <a:latin typeface="Arial" panose="020B0604020202020204" pitchFamily="34" charset="0"/>
              <a:cs typeface="Arial" panose="020B0604020202020204" pitchFamily="34" charset="0"/>
            </a:rPr>
            <a:t> *2 Möglichkeiten zur Angabe des Geburtsdatums: </a:t>
          </a:r>
        </a:p>
        <a:p>
          <a:pPr>
            <a:spcAft>
              <a:spcPts val="300"/>
            </a:spcAft>
          </a:pPr>
          <a:r>
            <a:rPr lang="de-DE" sz="1200" baseline="0">
              <a:solidFill>
                <a:srgbClr val="C00000"/>
              </a:solidFill>
              <a:latin typeface="Arial" panose="020B0604020202020204" pitchFamily="34" charset="0"/>
              <a:cs typeface="Arial" panose="020B0604020202020204" pitchFamily="34" charset="0"/>
            </a:rPr>
            <a:t>Sie können das </a:t>
          </a:r>
          <a:r>
            <a:rPr lang="de-DE" sz="1200" i="1" u="none" baseline="0">
              <a:solidFill>
                <a:srgbClr val="C00000"/>
              </a:solidFill>
              <a:latin typeface="Arial" panose="020B0604020202020204" pitchFamily="34" charset="0"/>
              <a:cs typeface="Arial" panose="020B0604020202020204" pitchFamily="34" charset="0"/>
            </a:rPr>
            <a:t>Geburtsdatum gesamthaft</a:t>
          </a:r>
          <a:r>
            <a:rPr lang="de-DE" sz="1200" baseline="0">
              <a:solidFill>
                <a:srgbClr val="C00000"/>
              </a:solidFill>
              <a:latin typeface="Arial" panose="020B0604020202020204" pitchFamily="34" charset="0"/>
              <a:cs typeface="Arial" panose="020B0604020202020204" pitchFamily="34" charset="0"/>
            </a:rPr>
            <a:t> (z. B. schulbezogene Klassenlisten direkt hineinkopieren) </a:t>
          </a:r>
          <a:r>
            <a:rPr lang="de-DE" sz="1200" b="1" baseline="0">
              <a:solidFill>
                <a:srgbClr val="C00000"/>
              </a:solidFill>
              <a:latin typeface="Arial" panose="020B0604020202020204" pitchFamily="34" charset="0"/>
              <a:cs typeface="Arial" panose="020B0604020202020204" pitchFamily="34" charset="0"/>
            </a:rPr>
            <a:t>ODER</a:t>
          </a:r>
          <a:r>
            <a:rPr lang="de-DE" sz="1200" baseline="0">
              <a:solidFill>
                <a:srgbClr val="C00000"/>
              </a:solidFill>
              <a:latin typeface="Arial" panose="020B0604020202020204" pitchFamily="34" charset="0"/>
              <a:cs typeface="Arial" panose="020B0604020202020204" pitchFamily="34" charset="0"/>
            </a:rPr>
            <a:t> jeweils nur den </a:t>
          </a:r>
          <a:r>
            <a:rPr lang="de-DE" sz="1200" i="1" baseline="0">
              <a:solidFill>
                <a:srgbClr val="C00000"/>
              </a:solidFill>
              <a:latin typeface="Arial" panose="020B0604020202020204" pitchFamily="34" charset="0"/>
              <a:cs typeface="Arial" panose="020B0604020202020204" pitchFamily="34" charset="0"/>
            </a:rPr>
            <a:t>Geburtsmonat und das Geburtsjahr </a:t>
          </a:r>
          <a:r>
            <a:rPr lang="de-DE" sz="1200" baseline="0">
              <a:solidFill>
                <a:srgbClr val="C00000"/>
              </a:solidFill>
              <a:latin typeface="Arial" panose="020B0604020202020204" pitchFamily="34" charset="0"/>
              <a:cs typeface="Arial" panose="020B0604020202020204" pitchFamily="34" charset="0"/>
            </a:rPr>
            <a:t>eingeben.  </a:t>
          </a:r>
          <a:r>
            <a:rPr lang="de-DE" sz="1200" b="1" baseline="0">
              <a:solidFill>
                <a:srgbClr val="C00000"/>
              </a:solidFill>
              <a:latin typeface="Arial" panose="020B0604020202020204" pitchFamily="34" charset="0"/>
              <a:cs typeface="Arial" panose="020B0604020202020204" pitchFamily="34" charset="0"/>
            </a:rPr>
            <a:t>Es muss </a:t>
          </a:r>
          <a:r>
            <a:rPr lang="de-DE" sz="1200" b="1" u="none" baseline="0">
              <a:solidFill>
                <a:srgbClr val="C00000"/>
              </a:solidFill>
              <a:latin typeface="Arial" panose="020B0604020202020204" pitchFamily="34" charset="0"/>
              <a:cs typeface="Arial" panose="020B0604020202020204" pitchFamily="34" charset="0"/>
            </a:rPr>
            <a:t>NUR EINE EINGABE </a:t>
          </a:r>
          <a:r>
            <a:rPr lang="de-DE" sz="1200" b="1" baseline="0">
              <a:solidFill>
                <a:srgbClr val="C00000"/>
              </a:solidFill>
              <a:latin typeface="Arial" panose="020B0604020202020204" pitchFamily="34" charset="0"/>
              <a:cs typeface="Arial" panose="020B0604020202020204" pitchFamily="34" charset="0"/>
            </a:rPr>
            <a:t>erfolgen!</a:t>
          </a:r>
          <a:endParaRPr lang="de-DE" sz="1200" b="1">
            <a:solidFill>
              <a:srgbClr val="C00000"/>
            </a:solidFill>
            <a:latin typeface="Arial" panose="020B0604020202020204" pitchFamily="34" charset="0"/>
            <a:cs typeface="Arial" panose="020B0604020202020204" pitchFamily="34" charset="0"/>
          </a:endParaRPr>
        </a:p>
      </xdr:txBody>
    </xdr:sp>
    <xdr:clientData/>
  </xdr:twoCellAnchor>
  <xdr:twoCellAnchor>
    <xdr:from>
      <xdr:col>2</xdr:col>
      <xdr:colOff>38100</xdr:colOff>
      <xdr:row>1</xdr:row>
      <xdr:rowOff>9525</xdr:rowOff>
    </xdr:from>
    <xdr:to>
      <xdr:col>4</xdr:col>
      <xdr:colOff>217169</xdr:colOff>
      <xdr:row>1</xdr:row>
      <xdr:rowOff>9525</xdr:rowOff>
    </xdr:to>
    <xdr:cxnSp macro="">
      <xdr:nvCxnSpPr>
        <xdr:cNvPr id="5" name="Gerade Verbindung 99">
          <a:extLst>
            <a:ext uri="{FF2B5EF4-FFF2-40B4-BE49-F238E27FC236}">
              <a16:creationId xmlns:a16="http://schemas.microsoft.com/office/drawing/2014/main" id="{5A770481-F79D-4EFE-A778-C83E81F112A6}"/>
            </a:ext>
          </a:extLst>
        </xdr:cNvPr>
        <xdr:cNvCxnSpPr/>
      </xdr:nvCxnSpPr>
      <xdr:spPr>
        <a:xfrm flipH="1">
          <a:off x="695325" y="428625"/>
          <a:ext cx="2226944" cy="0"/>
        </a:xfrm>
        <a:prstGeom prst="line">
          <a:avLst/>
        </a:prstGeom>
        <a:ln w="12700">
          <a:gradFill flip="none" rotWithShape="1">
            <a:gsLst>
              <a:gs pos="0">
                <a:srgbClr val="00BECE"/>
              </a:gs>
              <a:gs pos="100000">
                <a:srgbClr val="6FCC0D"/>
              </a:gs>
            </a:gsLst>
            <a:lin ang="10800000" scaled="1"/>
            <a:tileRect/>
          </a:gradFill>
          <a:headEnd type="oval"/>
          <a:tailEnd type="oval"/>
        </a:ln>
        <a:effectLst/>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100464</xdr:colOff>
      <xdr:row>2</xdr:row>
      <xdr:rowOff>169333</xdr:rowOff>
    </xdr:from>
    <xdr:to>
      <xdr:col>7</xdr:col>
      <xdr:colOff>1076325</xdr:colOff>
      <xdr:row>8</xdr:row>
      <xdr:rowOff>76200</xdr:rowOff>
    </xdr:to>
    <xdr:sp macro="" textlink="">
      <xdr:nvSpPr>
        <xdr:cNvPr id="6" name="Textfeld 5">
          <a:extLst>
            <a:ext uri="{FF2B5EF4-FFF2-40B4-BE49-F238E27FC236}">
              <a16:creationId xmlns:a16="http://schemas.microsoft.com/office/drawing/2014/main" id="{00000000-0008-0000-0200-000006000000}"/>
            </a:ext>
          </a:extLst>
        </xdr:cNvPr>
        <xdr:cNvSpPr txBox="1"/>
      </xdr:nvSpPr>
      <xdr:spPr>
        <a:xfrm>
          <a:off x="757689" y="550333"/>
          <a:ext cx="6890886" cy="120226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l" defTabSz="914400" eaLnBrk="1" fontAlgn="auto" latinLnBrk="0" hangingPunct="1">
            <a:lnSpc>
              <a:spcPts val="1500"/>
            </a:lnSpc>
            <a:spcBef>
              <a:spcPts val="0"/>
            </a:spcBef>
            <a:spcAft>
              <a:spcPts val="0"/>
            </a:spcAft>
            <a:buClrTx/>
            <a:buSzTx/>
            <a:buFontTx/>
            <a:buNone/>
            <a:tabLst/>
            <a:defRPr/>
          </a:pPr>
          <a:r>
            <a:rPr kumimoji="0" lang="de-DE" sz="1050" b="1" i="0" u="sng"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Hinweis</a:t>
          </a:r>
          <a:r>
            <a:rPr kumimoji="0" lang="de-DE" sz="1050" b="0" i="0" u="sng"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a:t>
          </a:r>
          <a:r>
            <a:rPr kumimoji="0" lang="de-DE" sz="105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Der Schülercode wird automatisch aus dem Schülerprofil übernommen </a:t>
          </a:r>
          <a:r>
            <a:rPr kumimoji="0" lang="de-DE" sz="1050" b="1"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(wenn bereits eingetragen!)</a:t>
          </a:r>
          <a:r>
            <a:rPr kumimoji="0" lang="de-DE" sz="105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a:t>
          </a:r>
        </a:p>
        <a:p>
          <a:pPr algn="l">
            <a:lnSpc>
              <a:spcPts val="1300"/>
            </a:lnSpc>
          </a:pPr>
          <a:r>
            <a:rPr lang="de-DE" sz="1100" b="1" baseline="0">
              <a:latin typeface="Arial" panose="020B0604020202020204" pitchFamily="34" charset="0"/>
              <a:cs typeface="Arial" panose="020B0604020202020204" pitchFamily="34" charset="0"/>
            </a:rPr>
            <a:t> </a:t>
          </a:r>
        </a:p>
        <a:p>
          <a:pPr algn="l">
            <a:lnSpc>
              <a:spcPts val="1300"/>
            </a:lnSpc>
          </a:pPr>
          <a:r>
            <a:rPr lang="de-DE" sz="1100" b="1" baseline="0">
              <a:latin typeface="Arial" panose="020B0604020202020204" pitchFamily="34" charset="0"/>
              <a:cs typeface="Arial" panose="020B0604020202020204" pitchFamily="34" charset="0"/>
            </a:rPr>
            <a:t>Bitte beachten:</a:t>
          </a:r>
        </a:p>
        <a:p>
          <a:pPr algn="l"/>
          <a:endParaRPr lang="de-DE" sz="100" baseline="0">
            <a:latin typeface="Arial" panose="020B0604020202020204" pitchFamily="34" charset="0"/>
            <a:cs typeface="Arial" panose="020B0604020202020204" pitchFamily="34" charset="0"/>
          </a:endParaRPr>
        </a:p>
        <a:p>
          <a:pPr algn="l">
            <a:lnSpc>
              <a:spcPts val="1500"/>
            </a:lnSpc>
          </a:pPr>
          <a:r>
            <a:rPr lang="de-DE" sz="1050" baseline="0">
              <a:latin typeface="Arial" panose="020B0604020202020204" pitchFamily="34" charset="0"/>
              <a:cs typeface="Arial" panose="020B0604020202020204" pitchFamily="34" charset="0"/>
            </a:rPr>
            <a:t>Für die objektive Einordnung der Leistungen von inkludierten Schülerinnen und Schülern bitten  </a:t>
          </a:r>
        </a:p>
        <a:p>
          <a:pPr algn="l">
            <a:lnSpc>
              <a:spcPts val="1500"/>
            </a:lnSpc>
          </a:pPr>
          <a:r>
            <a:rPr lang="de-DE" sz="1050" baseline="0">
              <a:latin typeface="Arial" panose="020B0604020202020204" pitchFamily="34" charset="0"/>
              <a:cs typeface="Arial" panose="020B0604020202020204" pitchFamily="34" charset="0"/>
            </a:rPr>
            <a:t>wir Sie um die Angabe des </a:t>
          </a:r>
          <a:r>
            <a:rPr lang="de-DE" sz="1050" b="0" i="1" baseline="0">
              <a:latin typeface="Arial" panose="020B0604020202020204" pitchFamily="34" charset="0"/>
              <a:cs typeface="Arial" panose="020B0604020202020204" pitchFamily="34" charset="0"/>
            </a:rPr>
            <a:t>Förderschwerpunktes</a:t>
          </a:r>
          <a:r>
            <a:rPr lang="de-DE" sz="1050" baseline="0">
              <a:latin typeface="Arial" panose="020B0604020202020204" pitchFamily="34" charset="0"/>
              <a:cs typeface="Arial" panose="020B0604020202020204" pitchFamily="34" charset="0"/>
            </a:rPr>
            <a:t>. Die  </a:t>
          </a:r>
          <a:r>
            <a:rPr lang="de-DE" sz="1050" i="1" baseline="0">
              <a:latin typeface="Arial" panose="020B0604020202020204" pitchFamily="34" charset="0"/>
              <a:cs typeface="Arial" panose="020B0604020202020204" pitchFamily="34" charset="0"/>
            </a:rPr>
            <a:t>Förderschwerpunkte</a:t>
          </a:r>
          <a:r>
            <a:rPr lang="de-DE" sz="1050" baseline="0">
              <a:latin typeface="Arial" panose="020B0604020202020204" pitchFamily="34" charset="0"/>
              <a:cs typeface="Arial" panose="020B0604020202020204" pitchFamily="34" charset="0"/>
            </a:rPr>
            <a:t> sind in der Spalte "Inklusion" für eine mögliche Auswahl voreingestellt.</a:t>
          </a:r>
        </a:p>
      </xdr:txBody>
    </xdr:sp>
    <xdr:clientData/>
  </xdr:twoCellAnchor>
  <xdr:twoCellAnchor>
    <xdr:from>
      <xdr:col>1</xdr:col>
      <xdr:colOff>323849</xdr:colOff>
      <xdr:row>0</xdr:row>
      <xdr:rowOff>112395</xdr:rowOff>
    </xdr:from>
    <xdr:to>
      <xdr:col>3</xdr:col>
      <xdr:colOff>447675</xdr:colOff>
      <xdr:row>2</xdr:row>
      <xdr:rowOff>36386</xdr:rowOff>
    </xdr:to>
    <xdr:sp macro="" textlink="">
      <xdr:nvSpPr>
        <xdr:cNvPr id="13" name="Textfeld 12">
          <a:extLst>
            <a:ext uri="{FF2B5EF4-FFF2-40B4-BE49-F238E27FC236}">
              <a16:creationId xmlns:a16="http://schemas.microsoft.com/office/drawing/2014/main" id="{00000000-0008-0000-0200-00000D000000}"/>
            </a:ext>
          </a:extLst>
        </xdr:cNvPr>
        <xdr:cNvSpPr txBox="1"/>
      </xdr:nvSpPr>
      <xdr:spPr>
        <a:xfrm>
          <a:off x="638174" y="112395"/>
          <a:ext cx="1400176" cy="30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DE" sz="1200" b="1">
              <a:latin typeface="Arial" panose="020B0604020202020204" pitchFamily="34" charset="0"/>
              <a:cs typeface="Arial" panose="020B0604020202020204" pitchFamily="34" charset="0"/>
            </a:rPr>
            <a:t>TEST-DATEN</a:t>
          </a:r>
        </a:p>
        <a:p>
          <a:endParaRPr lang="de-DE" sz="1200" b="1">
            <a:latin typeface="Arial" panose="020B0604020202020204" pitchFamily="34" charset="0"/>
            <a:cs typeface="Arial" panose="020B0604020202020204" pitchFamily="34" charset="0"/>
          </a:endParaRPr>
        </a:p>
      </xdr:txBody>
    </xdr:sp>
    <xdr:clientData/>
  </xdr:twoCellAnchor>
  <xdr:twoCellAnchor>
    <xdr:from>
      <xdr:col>2</xdr:col>
      <xdr:colOff>104775</xdr:colOff>
      <xdr:row>8</xdr:row>
      <xdr:rowOff>171450</xdr:rowOff>
    </xdr:from>
    <xdr:to>
      <xdr:col>7</xdr:col>
      <xdr:colOff>1080636</xdr:colOff>
      <xdr:row>10</xdr:row>
      <xdr:rowOff>542925</xdr:rowOff>
    </xdr:to>
    <xdr:sp macro="" textlink="">
      <xdr:nvSpPr>
        <xdr:cNvPr id="8" name="Textfeld 7">
          <a:extLst>
            <a:ext uri="{FF2B5EF4-FFF2-40B4-BE49-F238E27FC236}">
              <a16:creationId xmlns:a16="http://schemas.microsoft.com/office/drawing/2014/main" id="{00000000-0008-0000-0200-000008000000}"/>
            </a:ext>
          </a:extLst>
        </xdr:cNvPr>
        <xdr:cNvSpPr txBox="1"/>
      </xdr:nvSpPr>
      <xdr:spPr>
        <a:xfrm>
          <a:off x="762000" y="1847850"/>
          <a:ext cx="6890886" cy="847725"/>
        </a:xfrm>
        <a:prstGeom prst="rect">
          <a:avLst/>
        </a:prstGeom>
        <a:solidFill>
          <a:srgbClr val="FFFF99"/>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l" defTabSz="914400" eaLnBrk="1" fontAlgn="auto" latinLnBrk="0" hangingPunct="1">
            <a:lnSpc>
              <a:spcPts val="1500"/>
            </a:lnSpc>
            <a:spcBef>
              <a:spcPts val="0"/>
            </a:spcBef>
            <a:spcAft>
              <a:spcPts val="0"/>
            </a:spcAft>
            <a:buClrTx/>
            <a:buSzTx/>
            <a:buFontTx/>
            <a:buNone/>
            <a:tabLst/>
            <a:defRPr/>
          </a:pPr>
          <a:r>
            <a:rPr kumimoji="0" lang="de-DE" sz="1100" b="1"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2 Möglichkeiten zur Wert-Eingabe "6-min-Lauf": </a:t>
          </a:r>
        </a:p>
        <a:p>
          <a:pPr marL="0" marR="0" lvl="0" indent="0" defTabSz="914400" eaLnBrk="1" fontAlgn="auto" latinLnBrk="0" hangingPunct="1">
            <a:lnSpc>
              <a:spcPct val="100000"/>
            </a:lnSpc>
            <a:spcBef>
              <a:spcPts val="0"/>
            </a:spcBef>
            <a:spcAft>
              <a:spcPts val="300"/>
            </a:spcAft>
            <a:buClrTx/>
            <a:buSzTx/>
            <a:buFontTx/>
            <a:buNone/>
            <a:tabLst/>
            <a:defRPr/>
          </a:pPr>
          <a:r>
            <a:rPr kumimoji="0" lang="de-DE" sz="110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Sie können entweder die selbst ausgerechnete Meterzahl eingeben </a:t>
          </a:r>
          <a:r>
            <a:rPr kumimoji="0" lang="de-DE" sz="1100" b="1"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ODER</a:t>
          </a:r>
          <a:r>
            <a:rPr kumimoji="0" lang="de-DE" sz="110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die Anzahl der absolvierten Runden sowie erreichten Pylonen in der letzten nicht beendeten Runde - die Meterzahl wird dann automatisch berechnet.  </a:t>
          </a:r>
          <a:r>
            <a:rPr kumimoji="0" lang="de-DE" sz="1100" b="1"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Es muss NUR EINE EINGABE erfolgen!</a:t>
          </a:r>
        </a:p>
      </xdr:txBody>
    </xdr:sp>
    <xdr:clientData/>
  </xdr:twoCellAnchor>
  <xdr:twoCellAnchor>
    <xdr:from>
      <xdr:col>2</xdr:col>
      <xdr:colOff>66675</xdr:colOff>
      <xdr:row>2</xdr:row>
      <xdr:rowOff>57150</xdr:rowOff>
    </xdr:from>
    <xdr:to>
      <xdr:col>4</xdr:col>
      <xdr:colOff>264794</xdr:colOff>
      <xdr:row>2</xdr:row>
      <xdr:rowOff>57150</xdr:rowOff>
    </xdr:to>
    <xdr:cxnSp macro="">
      <xdr:nvCxnSpPr>
        <xdr:cNvPr id="7" name="Gerade Verbindung 99">
          <a:extLst>
            <a:ext uri="{FF2B5EF4-FFF2-40B4-BE49-F238E27FC236}">
              <a16:creationId xmlns:a16="http://schemas.microsoft.com/office/drawing/2014/main" id="{74E92C81-616D-4A0F-AD44-01AC877CA501}"/>
            </a:ext>
          </a:extLst>
        </xdr:cNvPr>
        <xdr:cNvCxnSpPr/>
      </xdr:nvCxnSpPr>
      <xdr:spPr>
        <a:xfrm flipH="1">
          <a:off x="723900" y="438150"/>
          <a:ext cx="2226944" cy="0"/>
        </a:xfrm>
        <a:prstGeom prst="line">
          <a:avLst/>
        </a:prstGeom>
        <a:ln w="12700">
          <a:gradFill flip="none" rotWithShape="1">
            <a:gsLst>
              <a:gs pos="0">
                <a:srgbClr val="00BECE"/>
              </a:gs>
              <a:gs pos="100000">
                <a:srgbClr val="6FCC0D"/>
              </a:gs>
            </a:gsLst>
            <a:lin ang="10800000" scaled="1"/>
            <a:tileRect/>
          </a:gradFill>
          <a:headEnd type="oval"/>
          <a:tailEnd type="oval"/>
        </a:ln>
        <a:effectLst/>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211666</xdr:colOff>
      <xdr:row>40</xdr:row>
      <xdr:rowOff>57150</xdr:rowOff>
    </xdr:from>
    <xdr:to>
      <xdr:col>13</xdr:col>
      <xdr:colOff>247650</xdr:colOff>
      <xdr:row>51</xdr:row>
      <xdr:rowOff>133350</xdr:rowOff>
    </xdr:to>
    <xdr:sp macro="" textlink="">
      <xdr:nvSpPr>
        <xdr:cNvPr id="130" name="Textfeld 129">
          <a:extLst>
            <a:ext uri="{FF2B5EF4-FFF2-40B4-BE49-F238E27FC236}">
              <a16:creationId xmlns:a16="http://schemas.microsoft.com/office/drawing/2014/main" id="{00000000-0008-0000-0300-000082000000}"/>
            </a:ext>
          </a:extLst>
        </xdr:cNvPr>
        <xdr:cNvSpPr txBox="1"/>
      </xdr:nvSpPr>
      <xdr:spPr>
        <a:xfrm>
          <a:off x="5840941" y="7848600"/>
          <a:ext cx="3845984" cy="2066925"/>
        </a:xfrm>
        <a:prstGeom prst="rect">
          <a:avLst/>
        </a:prstGeom>
        <a:ln>
          <a:gradFill flip="none" rotWithShape="1">
            <a:gsLst>
              <a:gs pos="0">
                <a:srgbClr val="00BECE"/>
              </a:gs>
              <a:gs pos="100000">
                <a:srgbClr val="6FCC0D"/>
              </a:gs>
            </a:gsLst>
            <a:lin ang="0" scaled="1"/>
            <a:tileRect/>
          </a:gradFill>
        </a:ln>
      </xdr:spPr>
      <xdr:style>
        <a:lnRef idx="2">
          <a:schemeClr val="accent3"/>
        </a:lnRef>
        <a:fillRef idx="1">
          <a:schemeClr val="lt1"/>
        </a:fillRef>
        <a:effectRef idx="0">
          <a:schemeClr val="accent3"/>
        </a:effectRef>
        <a:fontRef idx="minor">
          <a:schemeClr val="dk1"/>
        </a:fontRef>
      </xdr:style>
      <xdr:txBody>
        <a:bodyPr vertOverflow="clip" wrap="square" rtlCol="0" anchor="ctr"/>
        <a:lstStyle/>
        <a:p>
          <a:pPr algn="l">
            <a:lnSpc>
              <a:spcPts val="1700"/>
            </a:lnSpc>
          </a:pPr>
          <a:r>
            <a:rPr lang="de-DE" sz="1050" b="0">
              <a:solidFill>
                <a:sysClr val="windowText" lastClr="000000"/>
              </a:solidFill>
              <a:latin typeface="Arial" panose="020B0604020202020204" pitchFamily="34" charset="0"/>
              <a:cs typeface="Arial" panose="020B0604020202020204" pitchFamily="34" charset="0"/>
            </a:rPr>
            <a:t>Bitte machen Sie Angaben</a:t>
          </a:r>
          <a:r>
            <a:rPr lang="de-DE" sz="1050" b="0" baseline="0">
              <a:solidFill>
                <a:sysClr val="windowText" lastClr="000000"/>
              </a:solidFill>
              <a:latin typeface="Arial" panose="020B0604020202020204" pitchFamily="34" charset="0"/>
              <a:cs typeface="Arial" panose="020B0604020202020204" pitchFamily="34" charset="0"/>
            </a:rPr>
            <a:t> zu den drei Merkmalen ("</a:t>
          </a:r>
          <a:r>
            <a:rPr kumimoji="0" lang="de-DE" sz="105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6-stellige Schulnummer" wenn bekannt).</a:t>
          </a:r>
        </a:p>
        <a:p>
          <a:pPr algn="l">
            <a:lnSpc>
              <a:spcPts val="1700"/>
            </a:lnSpc>
            <a:spcBef>
              <a:spcPts val="600"/>
            </a:spcBef>
          </a:pPr>
          <a:r>
            <a:rPr kumimoji="0" lang="de-DE" sz="105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Sie können ohne linken Mausklick sofort mit der Eingabe des "Namen der Schule" beginnen (=  Voreinstellung beim erstmaligen Öffnen der Datenmaske)</a:t>
          </a:r>
        </a:p>
        <a:p>
          <a:pPr algn="l">
            <a:lnSpc>
              <a:spcPts val="1700"/>
            </a:lnSpc>
            <a:spcBef>
              <a:spcPts val="600"/>
            </a:spcBef>
          </a:pPr>
          <a:r>
            <a:rPr kumimoji="0" lang="de-DE" sz="105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Mit der "Enter"-Taste oder manuell durch den linken Mausklick, gelangen Sie in das darunter befindliche nächste Eingabefeld.</a:t>
          </a:r>
        </a:p>
        <a:p>
          <a:pPr algn="l">
            <a:lnSpc>
              <a:spcPts val="1700"/>
            </a:lnSpc>
          </a:pPr>
          <a:endParaRPr lang="de-DE" sz="105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0</xdr:col>
      <xdr:colOff>266700</xdr:colOff>
      <xdr:row>42</xdr:row>
      <xdr:rowOff>161925</xdr:rowOff>
    </xdr:from>
    <xdr:to>
      <xdr:col>5</xdr:col>
      <xdr:colOff>572564</xdr:colOff>
      <xdr:row>50</xdr:row>
      <xdr:rowOff>123811</xdr:rowOff>
    </xdr:to>
    <xdr:pic>
      <xdr:nvPicPr>
        <xdr:cNvPr id="63" name="Grafik 62">
          <a:extLst>
            <a:ext uri="{FF2B5EF4-FFF2-40B4-BE49-F238E27FC236}">
              <a16:creationId xmlns:a16="http://schemas.microsoft.com/office/drawing/2014/main" id="{95A945C3-BA16-4639-8C3C-2E4C53B43DE2}"/>
            </a:ext>
          </a:extLst>
        </xdr:cNvPr>
        <xdr:cNvPicPr>
          <a:picLocks noChangeAspect="1"/>
        </xdr:cNvPicPr>
      </xdr:nvPicPr>
      <xdr:blipFill>
        <a:blip xmlns:r="http://schemas.openxmlformats.org/officeDocument/2006/relationships" r:embed="rId1"/>
        <a:stretch>
          <a:fillRect/>
        </a:stretch>
      </xdr:blipFill>
      <xdr:spPr>
        <a:xfrm>
          <a:off x="266700" y="8286750"/>
          <a:ext cx="3657143" cy="1390476"/>
        </a:xfrm>
        <a:prstGeom prst="rect">
          <a:avLst/>
        </a:prstGeom>
      </xdr:spPr>
    </xdr:pic>
    <xdr:clientData/>
  </xdr:twoCellAnchor>
  <xdr:twoCellAnchor editAs="oneCell">
    <xdr:from>
      <xdr:col>4</xdr:col>
      <xdr:colOff>247651</xdr:colOff>
      <xdr:row>25</xdr:row>
      <xdr:rowOff>113727</xdr:rowOff>
    </xdr:from>
    <xdr:to>
      <xdr:col>10</xdr:col>
      <xdr:colOff>209551</xdr:colOff>
      <xdr:row>29</xdr:row>
      <xdr:rowOff>66656</xdr:rowOff>
    </xdr:to>
    <xdr:pic>
      <xdr:nvPicPr>
        <xdr:cNvPr id="21" name="Grafik 20">
          <a:extLst>
            <a:ext uri="{FF2B5EF4-FFF2-40B4-BE49-F238E27FC236}">
              <a16:creationId xmlns:a16="http://schemas.microsoft.com/office/drawing/2014/main" id="{989B58A5-6B6D-499B-921F-9B79172AE3F1}"/>
            </a:ext>
          </a:extLst>
        </xdr:cNvPr>
        <xdr:cNvPicPr>
          <a:picLocks noChangeAspect="1"/>
        </xdr:cNvPicPr>
      </xdr:nvPicPr>
      <xdr:blipFill>
        <a:blip xmlns:r="http://schemas.openxmlformats.org/officeDocument/2006/relationships" r:embed="rId2"/>
        <a:stretch>
          <a:fillRect/>
        </a:stretch>
      </xdr:blipFill>
      <xdr:spPr>
        <a:xfrm>
          <a:off x="2828926" y="5161977"/>
          <a:ext cx="4533900" cy="667223"/>
        </a:xfrm>
        <a:prstGeom prst="rect">
          <a:avLst/>
        </a:prstGeom>
      </xdr:spPr>
    </xdr:pic>
    <xdr:clientData/>
  </xdr:twoCellAnchor>
  <xdr:twoCellAnchor editAs="oneCell">
    <xdr:from>
      <xdr:col>0</xdr:col>
      <xdr:colOff>28575</xdr:colOff>
      <xdr:row>144</xdr:row>
      <xdr:rowOff>47625</xdr:rowOff>
    </xdr:from>
    <xdr:to>
      <xdr:col>5</xdr:col>
      <xdr:colOff>315846</xdr:colOff>
      <xdr:row>159</xdr:row>
      <xdr:rowOff>36019</xdr:rowOff>
    </xdr:to>
    <xdr:pic>
      <xdr:nvPicPr>
        <xdr:cNvPr id="4100" name="Grafik 17">
          <a:extLst>
            <a:ext uri="{FF2B5EF4-FFF2-40B4-BE49-F238E27FC236}">
              <a16:creationId xmlns:a16="http://schemas.microsoft.com/office/drawing/2014/main" id="{00000000-0008-0000-0300-0000041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575" y="26793825"/>
          <a:ext cx="3638550" cy="266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66675</xdr:colOff>
      <xdr:row>112</xdr:row>
      <xdr:rowOff>38100</xdr:rowOff>
    </xdr:from>
    <xdr:to>
      <xdr:col>9</xdr:col>
      <xdr:colOff>561975</xdr:colOff>
      <xdr:row>122</xdr:row>
      <xdr:rowOff>24013</xdr:rowOff>
    </xdr:to>
    <xdr:pic>
      <xdr:nvPicPr>
        <xdr:cNvPr id="4101" name="Grafik 16">
          <a:extLst>
            <a:ext uri="{FF2B5EF4-FFF2-40B4-BE49-F238E27FC236}">
              <a16:creationId xmlns:a16="http://schemas.microsoft.com/office/drawing/2014/main" id="{00000000-0008-0000-0300-0000051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1950" y="20945475"/>
          <a:ext cx="65913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485775</xdr:colOff>
      <xdr:row>97</xdr:row>
      <xdr:rowOff>123825</xdr:rowOff>
    </xdr:from>
    <xdr:to>
      <xdr:col>4</xdr:col>
      <xdr:colOff>533400</xdr:colOff>
      <xdr:row>112</xdr:row>
      <xdr:rowOff>38100</xdr:rowOff>
    </xdr:to>
    <xdr:pic>
      <xdr:nvPicPr>
        <xdr:cNvPr id="4102" name="Grafik 125">
          <a:extLst>
            <a:ext uri="{FF2B5EF4-FFF2-40B4-BE49-F238E27FC236}">
              <a16:creationId xmlns:a16="http://schemas.microsoft.com/office/drawing/2014/main" id="{00000000-0008-0000-0300-0000061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81050" y="18288000"/>
          <a:ext cx="2333625" cy="262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428625</xdr:colOff>
      <xdr:row>84</xdr:row>
      <xdr:rowOff>85725</xdr:rowOff>
    </xdr:from>
    <xdr:to>
      <xdr:col>5</xdr:col>
      <xdr:colOff>304800</xdr:colOff>
      <xdr:row>97</xdr:row>
      <xdr:rowOff>0</xdr:rowOff>
    </xdr:to>
    <xdr:pic>
      <xdr:nvPicPr>
        <xdr:cNvPr id="4103" name="Grafik 119">
          <a:extLst>
            <a:ext uri="{FF2B5EF4-FFF2-40B4-BE49-F238E27FC236}">
              <a16:creationId xmlns:a16="http://schemas.microsoft.com/office/drawing/2014/main" id="{00000000-0008-0000-0300-0000071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23900" y="15878175"/>
          <a:ext cx="2924175"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193046</xdr:colOff>
      <xdr:row>6</xdr:row>
      <xdr:rowOff>179917</xdr:rowOff>
    </xdr:from>
    <xdr:to>
      <xdr:col>10</xdr:col>
      <xdr:colOff>396882</xdr:colOff>
      <xdr:row>26</xdr:row>
      <xdr:rowOff>52915</xdr:rowOff>
    </xdr:to>
    <xdr:sp macro="" textlink="">
      <xdr:nvSpPr>
        <xdr:cNvPr id="24" name="Textfeld 23">
          <a:extLst>
            <a:ext uri="{FF2B5EF4-FFF2-40B4-BE49-F238E27FC236}">
              <a16:creationId xmlns:a16="http://schemas.microsoft.com/office/drawing/2014/main" id="{00000000-0008-0000-0300-000018000000}"/>
            </a:ext>
          </a:extLst>
        </xdr:cNvPr>
        <xdr:cNvSpPr txBox="1"/>
      </xdr:nvSpPr>
      <xdr:spPr>
        <a:xfrm>
          <a:off x="193046" y="1694392"/>
          <a:ext cx="7271386" cy="37591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endParaRPr lang="de-DE" sz="1100">
            <a:solidFill>
              <a:schemeClr val="dk1"/>
            </a:solidFill>
            <a:latin typeface="+mj-lt"/>
            <a:ea typeface="+mn-ea"/>
            <a:cs typeface="+mn-cs"/>
          </a:endParaRPr>
        </a:p>
        <a:p>
          <a:pPr algn="l"/>
          <a:r>
            <a:rPr lang="de-DE" sz="1100">
              <a:solidFill>
                <a:schemeClr val="dk1"/>
              </a:solidFill>
              <a:latin typeface="Arial" panose="020B0604020202020204" pitchFamily="34" charset="0"/>
              <a:ea typeface="+mn-ea"/>
              <a:cs typeface="Arial" panose="020B0604020202020204" pitchFamily="34" charset="0"/>
            </a:rPr>
            <a:t>Die Datenmaske kann beliebig oft geöffnet, bearbeitet und gespeichert werden.  Sie ist in vier Blöcke</a:t>
          </a:r>
          <a:r>
            <a:rPr lang="de-DE" sz="1100" baseline="0">
              <a:solidFill>
                <a:schemeClr val="dk1"/>
              </a:solidFill>
              <a:latin typeface="Arial" panose="020B0604020202020204" pitchFamily="34" charset="0"/>
              <a:ea typeface="+mn-ea"/>
              <a:cs typeface="Arial" panose="020B0604020202020204" pitchFamily="34" charset="0"/>
            </a:rPr>
            <a:t> bzw. </a:t>
          </a:r>
          <a:r>
            <a:rPr lang="de-DE" sz="1100">
              <a:solidFill>
                <a:schemeClr val="dk1"/>
              </a:solidFill>
              <a:effectLst/>
              <a:latin typeface="Arial" panose="020B0604020202020204" pitchFamily="34" charset="0"/>
              <a:ea typeface="+mn-ea"/>
              <a:cs typeface="Arial" panose="020B0604020202020204" pitchFamily="34" charset="0"/>
            </a:rPr>
            <a:t>Tabellenblätter</a:t>
          </a:r>
          <a:r>
            <a:rPr lang="de-DE" sz="1100" baseline="0">
              <a:solidFill>
                <a:schemeClr val="dk1"/>
              </a:solidFill>
              <a:effectLst/>
              <a:latin typeface="Arial" panose="020B0604020202020204" pitchFamily="34" charset="0"/>
              <a:ea typeface="+mn-ea"/>
              <a:cs typeface="Arial" panose="020B0604020202020204" pitchFamily="34" charset="0"/>
            </a:rPr>
            <a:t> </a:t>
          </a:r>
          <a:r>
            <a:rPr lang="de-DE" sz="1100">
              <a:solidFill>
                <a:schemeClr val="dk1"/>
              </a:solidFill>
              <a:effectLst/>
              <a:latin typeface="Arial" panose="020B0604020202020204" pitchFamily="34" charset="0"/>
              <a:ea typeface="+mn-ea"/>
              <a:cs typeface="Arial" panose="020B0604020202020204" pitchFamily="34" charset="0"/>
            </a:rPr>
            <a:t> strukturiert </a:t>
          </a:r>
          <a:r>
            <a:rPr lang="de-DE" sz="1100" baseline="0">
              <a:solidFill>
                <a:schemeClr val="dk1"/>
              </a:solidFill>
              <a:latin typeface="Arial" panose="020B0604020202020204" pitchFamily="34" charset="0"/>
              <a:ea typeface="+mn-ea"/>
              <a:cs typeface="Arial" panose="020B0604020202020204" pitchFamily="34" charset="0"/>
            </a:rPr>
            <a:t>:</a:t>
          </a:r>
          <a:endParaRPr lang="de-DE">
            <a:latin typeface="Arial" panose="020B0604020202020204" pitchFamily="34" charset="0"/>
            <a:cs typeface="Arial" panose="020B0604020202020204" pitchFamily="34" charset="0"/>
          </a:endParaRPr>
        </a:p>
        <a:p>
          <a:pPr algn="l"/>
          <a:endParaRPr lang="de-DE" sz="500" b="1" i="1">
            <a:solidFill>
              <a:schemeClr val="dk1"/>
            </a:solidFill>
            <a:latin typeface="Arial" panose="020B0604020202020204" pitchFamily="34" charset="0"/>
            <a:ea typeface="+mn-ea"/>
            <a:cs typeface="Arial" panose="020B0604020202020204" pitchFamily="34" charset="0"/>
          </a:endParaRPr>
        </a:p>
        <a:p>
          <a:pPr algn="l"/>
          <a:r>
            <a:rPr lang="de-DE" sz="1100" b="1" i="0">
              <a:solidFill>
                <a:schemeClr val="dk1"/>
              </a:solidFill>
              <a:latin typeface="Arial" panose="020B0604020202020204" pitchFamily="34" charset="0"/>
              <a:ea typeface="+mn-ea"/>
              <a:cs typeface="Arial" panose="020B0604020202020204" pitchFamily="34" charset="0"/>
            </a:rPr>
            <a:t>1. Startseite</a:t>
          </a:r>
          <a:r>
            <a:rPr lang="de-DE" sz="1100" b="1" i="0" baseline="0">
              <a:solidFill>
                <a:schemeClr val="dk1"/>
              </a:solidFill>
              <a:latin typeface="Arial" panose="020B0604020202020204" pitchFamily="34" charset="0"/>
              <a:ea typeface="+mn-ea"/>
              <a:cs typeface="Arial" panose="020B0604020202020204" pitchFamily="34" charset="0"/>
            </a:rPr>
            <a:t>  </a:t>
          </a:r>
          <a:r>
            <a:rPr lang="de-DE" sz="1100" b="1" i="0" baseline="0">
              <a:solidFill>
                <a:schemeClr val="dk1"/>
              </a:solidFill>
              <a:effectLst/>
              <a:latin typeface="Arial" panose="020B0604020202020204" pitchFamily="34" charset="0"/>
              <a:ea typeface="+mn-ea"/>
              <a:cs typeface="Arial" panose="020B0604020202020204" pitchFamily="34" charset="0"/>
            </a:rPr>
            <a:t>»</a:t>
          </a:r>
          <a:r>
            <a:rPr lang="de-DE" sz="1100" b="1" i="0" baseline="0">
              <a:solidFill>
                <a:schemeClr val="dk1"/>
              </a:solidFill>
              <a:latin typeface="Arial" panose="020B0604020202020204" pitchFamily="34" charset="0"/>
              <a:ea typeface="+mn-ea"/>
              <a:cs typeface="Arial" panose="020B0604020202020204" pitchFamily="34" charset="0"/>
            </a:rPr>
            <a:t>  2. </a:t>
          </a:r>
          <a:r>
            <a:rPr lang="de-DE" sz="1100" b="1" i="0">
              <a:solidFill>
                <a:schemeClr val="dk1"/>
              </a:solidFill>
              <a:latin typeface="Arial" panose="020B0604020202020204" pitchFamily="34" charset="0"/>
              <a:ea typeface="+mn-ea"/>
              <a:cs typeface="Arial" panose="020B0604020202020204" pitchFamily="34" charset="0"/>
            </a:rPr>
            <a:t>Schülerprofil</a:t>
          </a:r>
          <a:r>
            <a:rPr lang="de-DE" sz="1100" b="1" i="0" baseline="0">
              <a:solidFill>
                <a:schemeClr val="dk1"/>
              </a:solidFill>
              <a:latin typeface="Arial" panose="020B0604020202020204" pitchFamily="34" charset="0"/>
              <a:ea typeface="+mn-ea"/>
              <a:cs typeface="Arial" panose="020B0604020202020204" pitchFamily="34" charset="0"/>
            </a:rPr>
            <a:t>  »  3. TEST-Daten  »  4. Hinweise zur Dateneingabe </a:t>
          </a:r>
          <a:r>
            <a:rPr lang="de-DE" sz="1100" b="0" i="1" baseline="0">
              <a:solidFill>
                <a:schemeClr val="dk1"/>
              </a:solidFill>
              <a:latin typeface="Arial" panose="020B0604020202020204" pitchFamily="34" charset="0"/>
              <a:ea typeface="+mn-ea"/>
              <a:cs typeface="Arial" panose="020B0604020202020204" pitchFamily="34" charset="0"/>
            </a:rPr>
            <a:t>(aktuell geöffnet)</a:t>
          </a:r>
          <a:endParaRPr lang="de-DE" sz="1100" b="0" i="1">
            <a:solidFill>
              <a:schemeClr val="dk1"/>
            </a:solidFill>
            <a:latin typeface="Arial" panose="020B0604020202020204" pitchFamily="34" charset="0"/>
            <a:ea typeface="+mn-ea"/>
            <a:cs typeface="Arial" panose="020B0604020202020204" pitchFamily="34" charset="0"/>
          </a:endParaRPr>
        </a:p>
        <a:p>
          <a:pPr algn="l"/>
          <a:endParaRPr lang="de-DE" sz="100" b="1" i="1">
            <a:solidFill>
              <a:schemeClr val="dk1"/>
            </a:solidFill>
            <a:latin typeface="Arial" panose="020B0604020202020204" pitchFamily="34" charset="0"/>
            <a:ea typeface="+mn-ea"/>
            <a:cs typeface="Arial" panose="020B0604020202020204" pitchFamily="34" charset="0"/>
          </a:endParaRPr>
        </a:p>
        <a:p>
          <a:pPr algn="l">
            <a:lnSpc>
              <a:spcPct val="100000"/>
            </a:lnSpc>
            <a:spcBef>
              <a:spcPts val="600"/>
            </a:spcBef>
          </a:pPr>
          <a:r>
            <a:rPr lang="de-DE" sz="1100">
              <a:solidFill>
                <a:srgbClr val="C00000"/>
              </a:solidFill>
              <a:latin typeface="Arial" panose="020B0604020202020204" pitchFamily="34" charset="0"/>
              <a:ea typeface="+mn-ea"/>
              <a:cs typeface="Arial" panose="020B0604020202020204" pitchFamily="34" charset="0"/>
            </a:rPr>
            <a:t>Es</a:t>
          </a:r>
          <a:r>
            <a:rPr lang="de-DE" sz="1100" baseline="0">
              <a:solidFill>
                <a:srgbClr val="C00000"/>
              </a:solidFill>
              <a:latin typeface="Arial" panose="020B0604020202020204" pitchFamily="34" charset="0"/>
              <a:ea typeface="+mn-ea"/>
              <a:cs typeface="Arial" panose="020B0604020202020204" pitchFamily="34" charset="0"/>
            </a:rPr>
            <a:t> wird empfohlen, </a:t>
          </a:r>
          <a:r>
            <a:rPr kumimoji="0" lang="de-DE" sz="110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beim Eintragen </a:t>
          </a:r>
          <a:r>
            <a:rPr lang="de-DE" sz="1100" baseline="0">
              <a:solidFill>
                <a:srgbClr val="C00000"/>
              </a:solidFill>
              <a:latin typeface="Arial" panose="020B0604020202020204" pitchFamily="34" charset="0"/>
              <a:ea typeface="+mn-ea"/>
              <a:cs typeface="Arial" panose="020B0604020202020204" pitchFamily="34" charset="0"/>
            </a:rPr>
            <a:t>der Daten die vorgegebene Reihenfolge 1. bis 4. einzuhalten. Für diese Reihenfolge brauchen Sie nur den </a:t>
          </a:r>
          <a:r>
            <a:rPr lang="de-DE" sz="1100" u="sng" baseline="0">
              <a:solidFill>
                <a:srgbClr val="C00000"/>
              </a:solidFill>
              <a:latin typeface="Arial" panose="020B0604020202020204" pitchFamily="34" charset="0"/>
              <a:ea typeface="+mn-ea"/>
              <a:cs typeface="Arial" panose="020B0604020202020204" pitchFamily="34" charset="0"/>
            </a:rPr>
            <a:t>grünen Buttons </a:t>
          </a:r>
          <a:r>
            <a:rPr lang="de-DE" sz="1100" baseline="0">
              <a:solidFill>
                <a:srgbClr val="C00000"/>
              </a:solidFill>
              <a:latin typeface="Arial" panose="020B0604020202020204" pitchFamily="34" charset="0"/>
              <a:ea typeface="+mn-ea"/>
              <a:cs typeface="Arial" panose="020B0604020202020204" pitchFamily="34" charset="0"/>
            </a:rPr>
            <a:t>folgen, indem Sie mit der linken Maustaste auf die Buttons klicken.</a:t>
          </a:r>
          <a:endParaRPr lang="de-DE" sz="1050">
            <a:solidFill>
              <a:srgbClr val="C00000"/>
            </a:solidFill>
            <a:latin typeface="Arial" panose="020B0604020202020204" pitchFamily="34" charset="0"/>
            <a:ea typeface="+mn-ea"/>
            <a:cs typeface="Arial" panose="020B0604020202020204" pitchFamily="34" charset="0"/>
          </a:endParaRPr>
        </a:p>
        <a:p>
          <a:pPr algn="l">
            <a:lnSpc>
              <a:spcPts val="1700"/>
            </a:lnSpc>
            <a:spcBef>
              <a:spcPts val="1200"/>
            </a:spcBef>
          </a:pPr>
          <a:r>
            <a:rPr lang="de-DE" sz="1100">
              <a:solidFill>
                <a:sysClr val="windowText" lastClr="000000"/>
              </a:solidFill>
              <a:latin typeface="Arial" panose="020B0604020202020204" pitchFamily="34" charset="0"/>
              <a:cs typeface="Arial" panose="020B0604020202020204" pitchFamily="34" charset="0"/>
            </a:rPr>
            <a:t>Sie finden in den Tabellenblättern</a:t>
          </a:r>
          <a:r>
            <a:rPr lang="de-DE" sz="1100" baseline="0">
              <a:solidFill>
                <a:sysClr val="windowText" lastClr="000000"/>
              </a:solidFill>
              <a:latin typeface="Arial" panose="020B0604020202020204" pitchFamily="34" charset="0"/>
              <a:cs typeface="Arial" panose="020B0604020202020204" pitchFamily="34" charset="0"/>
            </a:rPr>
            <a:t> </a:t>
          </a:r>
          <a:r>
            <a:rPr lang="de-DE" sz="1100" b="1" u="sng" baseline="0">
              <a:solidFill>
                <a:srgbClr val="6FCC0D"/>
              </a:solidFill>
              <a:latin typeface="Arial" panose="020B0604020202020204" pitchFamily="34" charset="0"/>
              <a:cs typeface="Arial" panose="020B0604020202020204" pitchFamily="34" charset="0"/>
            </a:rPr>
            <a:t>grüne BUTTONS</a:t>
          </a:r>
          <a:r>
            <a:rPr lang="de-DE" sz="1100" baseline="0">
              <a:solidFill>
                <a:sysClr val="windowText" lastClr="000000"/>
              </a:solidFill>
              <a:latin typeface="Arial" panose="020B0604020202020204" pitchFamily="34" charset="0"/>
              <a:cs typeface="Arial" panose="020B0604020202020204" pitchFamily="34" charset="0"/>
            </a:rPr>
            <a:t>, die Sie durch die </a:t>
          </a:r>
          <a:r>
            <a:rPr lang="de-DE" sz="1100">
              <a:solidFill>
                <a:sysClr val="windowText" lastClr="000000"/>
              </a:solidFill>
              <a:latin typeface="Arial" panose="020B0604020202020204" pitchFamily="34" charset="0"/>
              <a:cs typeface="Arial" panose="020B0604020202020204" pitchFamily="34" charset="0"/>
            </a:rPr>
            <a:t>Datenmaske</a:t>
          </a:r>
          <a:r>
            <a:rPr lang="de-DE" sz="1100" baseline="0">
              <a:solidFill>
                <a:sysClr val="windowText" lastClr="000000"/>
              </a:solidFill>
              <a:latin typeface="Arial" panose="020B0604020202020204" pitchFamily="34" charset="0"/>
              <a:cs typeface="Arial" panose="020B0604020202020204" pitchFamily="34" charset="0"/>
            </a:rPr>
            <a:t> bzw. Dateneingabe (vorwärts) navigieren. </a:t>
          </a:r>
        </a:p>
        <a:p>
          <a:pPr algn="l">
            <a:lnSpc>
              <a:spcPts val="1700"/>
            </a:lnSpc>
          </a:pPr>
          <a:r>
            <a:rPr lang="de-DE" sz="1100" baseline="0">
              <a:solidFill>
                <a:sysClr val="windowText" lastClr="000000"/>
              </a:solidFill>
              <a:latin typeface="Arial" panose="020B0604020202020204" pitchFamily="34" charset="0"/>
              <a:cs typeface="Arial" panose="020B0604020202020204" pitchFamily="34" charset="0"/>
            </a:rPr>
            <a:t>Ebenso ermöglichen </a:t>
          </a:r>
          <a:r>
            <a:rPr lang="de-DE" sz="1100">
              <a:solidFill>
                <a:sysClr val="windowText" lastClr="000000"/>
              </a:solidFill>
              <a:latin typeface="Arial" panose="020B0604020202020204" pitchFamily="34" charset="0"/>
              <a:cs typeface="Arial" panose="020B0604020202020204" pitchFamily="34" charset="0"/>
            </a:rPr>
            <a:t>es ihnen die  </a:t>
          </a:r>
          <a:r>
            <a:rPr lang="de-DE" sz="1100" b="1" u="sng">
              <a:solidFill>
                <a:srgbClr val="00BECE"/>
              </a:solidFill>
              <a:latin typeface="Arial" panose="020B0604020202020204" pitchFamily="34" charset="0"/>
              <a:cs typeface="Arial" panose="020B0604020202020204" pitchFamily="34" charset="0"/>
            </a:rPr>
            <a:t>blauen</a:t>
          </a:r>
          <a:r>
            <a:rPr lang="de-DE" sz="1100" b="1" u="sng" baseline="0">
              <a:solidFill>
                <a:srgbClr val="00BECE"/>
              </a:solidFill>
              <a:latin typeface="Arial" panose="020B0604020202020204" pitchFamily="34" charset="0"/>
              <a:cs typeface="Arial" panose="020B0604020202020204" pitchFamily="34" charset="0"/>
            </a:rPr>
            <a:t> </a:t>
          </a:r>
          <a:r>
            <a:rPr lang="de-DE" sz="1100" b="1" u="sng">
              <a:solidFill>
                <a:srgbClr val="00BECE"/>
              </a:solidFill>
              <a:latin typeface="Arial" panose="020B0604020202020204" pitchFamily="34" charset="0"/>
              <a:cs typeface="Arial" panose="020B0604020202020204" pitchFamily="34" charset="0"/>
            </a:rPr>
            <a:t>BUTTONS</a:t>
          </a:r>
          <a:r>
            <a:rPr lang="de-DE" sz="1100" b="1" u="none" baseline="0">
              <a:solidFill>
                <a:srgbClr val="00BECE"/>
              </a:solidFill>
              <a:latin typeface="Arial" panose="020B0604020202020204" pitchFamily="34" charset="0"/>
              <a:cs typeface="Arial" panose="020B0604020202020204" pitchFamily="34" charset="0"/>
            </a:rPr>
            <a:t>  </a:t>
          </a:r>
          <a:r>
            <a:rPr lang="de-DE" sz="1100" baseline="0">
              <a:solidFill>
                <a:sysClr val="windowText" lastClr="000000"/>
              </a:solidFill>
              <a:latin typeface="Arial" panose="020B0604020202020204" pitchFamily="34" charset="0"/>
              <a:cs typeface="Arial" panose="020B0604020202020204" pitchFamily="34" charset="0"/>
            </a:rPr>
            <a:t>wieder in vorherige Tabellenblätter zurückzukehren.</a:t>
          </a:r>
        </a:p>
        <a:p>
          <a:pPr algn="l">
            <a:lnSpc>
              <a:spcPct val="100000"/>
            </a:lnSpc>
          </a:pPr>
          <a:endParaRPr lang="de-DE" sz="1100" baseline="0">
            <a:solidFill>
              <a:sysClr val="windowText" lastClr="000000"/>
            </a:solidFill>
            <a:latin typeface="Arial" panose="020B0604020202020204" pitchFamily="34" charset="0"/>
            <a:cs typeface="Arial" panose="020B0604020202020204" pitchFamily="34" charset="0"/>
          </a:endParaRPr>
        </a:p>
        <a:p>
          <a:pPr algn="l">
            <a:lnSpc>
              <a:spcPct val="100000"/>
            </a:lnSpc>
          </a:pPr>
          <a:endParaRPr lang="de-DE" sz="1100" baseline="0">
            <a:solidFill>
              <a:sysClr val="windowText" lastClr="000000"/>
            </a:solidFill>
            <a:latin typeface="Arial" panose="020B0604020202020204" pitchFamily="34" charset="0"/>
            <a:cs typeface="Arial" panose="020B0604020202020204" pitchFamily="34" charset="0"/>
          </a:endParaRPr>
        </a:p>
        <a:p>
          <a:pPr algn="l">
            <a:lnSpc>
              <a:spcPct val="100000"/>
            </a:lnSpc>
          </a:pPr>
          <a:endParaRPr lang="de-DE" sz="1100" baseline="0">
            <a:solidFill>
              <a:sysClr val="windowText" lastClr="000000"/>
            </a:solidFill>
            <a:latin typeface="Arial" panose="020B0604020202020204" pitchFamily="34" charset="0"/>
            <a:cs typeface="Arial" panose="020B0604020202020204" pitchFamily="34" charset="0"/>
          </a:endParaRPr>
        </a:p>
        <a:p>
          <a:pPr algn="l">
            <a:lnSpc>
              <a:spcPct val="100000"/>
            </a:lnSpc>
          </a:pPr>
          <a:endParaRPr lang="de-DE" sz="2000" baseline="0">
            <a:solidFill>
              <a:sysClr val="windowText" lastClr="000000"/>
            </a:solidFill>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3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de-DE" sz="1100">
              <a:solidFill>
                <a:schemeClr val="dk1"/>
              </a:solidFill>
              <a:latin typeface="Arial" panose="020B0604020202020204" pitchFamily="34" charset="0"/>
              <a:ea typeface="+mn-ea"/>
              <a:cs typeface="Arial" panose="020B0604020202020204" pitchFamily="34" charset="0"/>
            </a:rPr>
            <a:t>Ebenso</a:t>
          </a:r>
          <a:r>
            <a:rPr lang="de-DE" sz="1100" baseline="0">
              <a:solidFill>
                <a:schemeClr val="dk1"/>
              </a:solidFill>
              <a:latin typeface="Arial" panose="020B0604020202020204" pitchFamily="34" charset="0"/>
              <a:ea typeface="+mn-ea"/>
              <a:cs typeface="Arial" panose="020B0604020202020204" pitchFamily="34" charset="0"/>
            </a:rPr>
            <a:t> </a:t>
          </a:r>
          <a:r>
            <a:rPr lang="de-DE" sz="1100">
              <a:solidFill>
                <a:schemeClr val="dk1"/>
              </a:solidFill>
              <a:latin typeface="Arial" panose="020B0604020202020204" pitchFamily="34" charset="0"/>
              <a:ea typeface="+mn-ea"/>
              <a:cs typeface="Arial" panose="020B0604020202020204" pitchFamily="34" charset="0"/>
            </a:rPr>
            <a:t>können </a:t>
          </a:r>
          <a:r>
            <a:rPr lang="de-DE" sz="1100" baseline="0">
              <a:solidFill>
                <a:schemeClr val="dk1"/>
              </a:solidFill>
              <a:latin typeface="Arial" panose="020B0604020202020204" pitchFamily="34" charset="0"/>
              <a:ea typeface="+mn-ea"/>
              <a:cs typeface="Arial" panose="020B0604020202020204" pitchFamily="34" charset="0"/>
            </a:rPr>
            <a:t>Sie </a:t>
          </a:r>
          <a:r>
            <a:rPr lang="de-DE" sz="1100">
              <a:solidFill>
                <a:schemeClr val="dk1"/>
              </a:solidFill>
              <a:latin typeface="Arial" panose="020B0604020202020204" pitchFamily="34" charset="0"/>
              <a:ea typeface="+mn-ea"/>
              <a:cs typeface="Arial" panose="020B0604020202020204" pitchFamily="34" charset="0"/>
            </a:rPr>
            <a:t>die am linken unteren Rand des  Excel-Fensters</a:t>
          </a:r>
          <a:r>
            <a:rPr lang="de-DE" sz="1100" baseline="0">
              <a:solidFill>
                <a:schemeClr val="dk1"/>
              </a:solidFill>
              <a:latin typeface="Arial" panose="020B0604020202020204" pitchFamily="34" charset="0"/>
              <a:ea typeface="+mn-ea"/>
              <a:cs typeface="Arial" panose="020B0604020202020204" pitchFamily="34" charset="0"/>
            </a:rPr>
            <a:t> eingeblendeten </a:t>
          </a:r>
          <a:r>
            <a:rPr lang="de-DE" sz="1100" b="1" baseline="0">
              <a:solidFill>
                <a:schemeClr val="dk1"/>
              </a:solidFill>
              <a:latin typeface="Arial" panose="020B0604020202020204" pitchFamily="34" charset="0"/>
              <a:ea typeface="+mn-ea"/>
              <a:cs typeface="Arial" panose="020B0604020202020204" pitchFamily="34" charset="0"/>
            </a:rPr>
            <a:t>                           </a:t>
          </a:r>
          <a:r>
            <a:rPr lang="de-DE" sz="1100" baseline="0">
              <a:solidFill>
                <a:schemeClr val="dk1"/>
              </a:solidFill>
              <a:latin typeface="Arial" panose="020B0604020202020204" pitchFamily="34" charset="0"/>
              <a:ea typeface="+mn-ea"/>
              <a:cs typeface="Arial" panose="020B0604020202020204" pitchFamily="34" charset="0"/>
            </a:rPr>
            <a:t>direkt anklicken und somit das entsprechende Tabellenblatt öffnen</a:t>
          </a:r>
          <a:r>
            <a:rPr lang="de-DE" sz="1100">
              <a:solidFill>
                <a:schemeClr val="dk1"/>
              </a:solidFill>
              <a:latin typeface="Arial" panose="020B0604020202020204" pitchFamily="34" charset="0"/>
              <a:ea typeface="+mn-ea"/>
              <a:cs typeface="Arial" panose="020B0604020202020204" pitchFamily="34" charset="0"/>
            </a:rPr>
            <a:t>.</a:t>
          </a:r>
        </a:p>
        <a:p>
          <a:pPr algn="l">
            <a:lnSpc>
              <a:spcPct val="100000"/>
            </a:lnSpc>
          </a:pPr>
          <a:endParaRPr lang="de-DE" sz="1100">
            <a:solidFill>
              <a:sysClr val="windowText" lastClr="000000"/>
            </a:solidFill>
            <a:latin typeface="+mj-lt"/>
          </a:endParaRPr>
        </a:p>
      </xdr:txBody>
    </xdr:sp>
    <xdr:clientData/>
  </xdr:twoCellAnchor>
  <xdr:twoCellAnchor>
    <xdr:from>
      <xdr:col>0</xdr:col>
      <xdr:colOff>267342</xdr:colOff>
      <xdr:row>5</xdr:row>
      <xdr:rowOff>41489</xdr:rowOff>
    </xdr:from>
    <xdr:to>
      <xdr:col>3</xdr:col>
      <xdr:colOff>676977</xdr:colOff>
      <xdr:row>8</xdr:row>
      <xdr:rowOff>79589</xdr:rowOff>
    </xdr:to>
    <xdr:sp macro="" textlink="">
      <xdr:nvSpPr>
        <xdr:cNvPr id="68" name="Textfeld 67">
          <a:extLst>
            <a:ext uri="{FF2B5EF4-FFF2-40B4-BE49-F238E27FC236}">
              <a16:creationId xmlns:a16="http://schemas.microsoft.com/office/drawing/2014/main" id="{00000000-0008-0000-0300-000044000000}"/>
            </a:ext>
          </a:extLst>
        </xdr:cNvPr>
        <xdr:cNvSpPr txBox="1"/>
      </xdr:nvSpPr>
      <xdr:spPr>
        <a:xfrm>
          <a:off x="267342" y="1365464"/>
          <a:ext cx="22479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DE" sz="1600" b="1">
              <a:latin typeface="Arial" panose="020B0604020202020204" pitchFamily="34" charset="0"/>
              <a:cs typeface="Arial" panose="020B0604020202020204" pitchFamily="34" charset="0"/>
            </a:rPr>
            <a:t>Allgemeines</a:t>
          </a:r>
        </a:p>
      </xdr:txBody>
    </xdr:sp>
    <xdr:clientData/>
  </xdr:twoCellAnchor>
  <xdr:twoCellAnchor>
    <xdr:from>
      <xdr:col>1</xdr:col>
      <xdr:colOff>0</xdr:colOff>
      <xdr:row>7</xdr:row>
      <xdr:rowOff>0</xdr:rowOff>
    </xdr:from>
    <xdr:to>
      <xdr:col>4</xdr:col>
      <xdr:colOff>691554</xdr:colOff>
      <xdr:row>7</xdr:row>
      <xdr:rowOff>0</xdr:rowOff>
    </xdr:to>
    <xdr:cxnSp macro="">
      <xdr:nvCxnSpPr>
        <xdr:cNvPr id="69" name="Gerade Verbindung 68">
          <a:extLst>
            <a:ext uri="{FF2B5EF4-FFF2-40B4-BE49-F238E27FC236}">
              <a16:creationId xmlns:a16="http://schemas.microsoft.com/office/drawing/2014/main" id="{00000000-0008-0000-0300-000045000000}"/>
            </a:ext>
          </a:extLst>
        </xdr:cNvPr>
        <xdr:cNvCxnSpPr/>
      </xdr:nvCxnSpPr>
      <xdr:spPr>
        <a:xfrm flipV="1">
          <a:off x="0" y="1661160"/>
          <a:ext cx="3093720" cy="190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735330</xdr:colOff>
      <xdr:row>2</xdr:row>
      <xdr:rowOff>38100</xdr:rowOff>
    </xdr:from>
    <xdr:to>
      <xdr:col>8</xdr:col>
      <xdr:colOff>733425</xdr:colOff>
      <xdr:row>2</xdr:row>
      <xdr:rowOff>38100</xdr:rowOff>
    </xdr:to>
    <xdr:cxnSp macro="">
      <xdr:nvCxnSpPr>
        <xdr:cNvPr id="100" name="Gerade Verbindung 99">
          <a:extLst>
            <a:ext uri="{FF2B5EF4-FFF2-40B4-BE49-F238E27FC236}">
              <a16:creationId xmlns:a16="http://schemas.microsoft.com/office/drawing/2014/main" id="{00000000-0008-0000-0300-000064000000}"/>
            </a:ext>
          </a:extLst>
        </xdr:cNvPr>
        <xdr:cNvCxnSpPr/>
      </xdr:nvCxnSpPr>
      <xdr:spPr>
        <a:xfrm flipH="1" flipV="1">
          <a:off x="1030605" y="514350"/>
          <a:ext cx="5332095" cy="0"/>
        </a:xfrm>
        <a:prstGeom prst="line">
          <a:avLst/>
        </a:prstGeom>
        <a:ln>
          <a:gradFill flip="none" rotWithShape="1">
            <a:gsLst>
              <a:gs pos="0">
                <a:srgbClr val="00BECE"/>
              </a:gs>
              <a:gs pos="100000">
                <a:srgbClr val="6FCC0D"/>
              </a:gs>
            </a:gsLst>
            <a:lin ang="10800000" scaled="1"/>
            <a:tileRect/>
          </a:gradFill>
          <a:headEnd type="oval"/>
          <a:tailEnd type="oval"/>
        </a:ln>
        <a:effectLst/>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64830</xdr:colOff>
      <xdr:row>18</xdr:row>
      <xdr:rowOff>125937</xdr:rowOff>
    </xdr:from>
    <xdr:to>
      <xdr:col>2</xdr:col>
      <xdr:colOff>374392</xdr:colOff>
      <xdr:row>19</xdr:row>
      <xdr:rowOff>178853</xdr:rowOff>
    </xdr:to>
    <xdr:sp macro="" textlink="">
      <xdr:nvSpPr>
        <xdr:cNvPr id="7" name="Textfeld 6">
          <a:extLst>
            <a:ext uri="{FF2B5EF4-FFF2-40B4-BE49-F238E27FC236}">
              <a16:creationId xmlns:a16="http://schemas.microsoft.com/office/drawing/2014/main" id="{00000000-0008-0000-0300-000007000000}"/>
            </a:ext>
          </a:extLst>
        </xdr:cNvPr>
        <xdr:cNvSpPr txBox="1"/>
      </xdr:nvSpPr>
      <xdr:spPr>
        <a:xfrm>
          <a:off x="379155" y="3821637"/>
          <a:ext cx="1071562" cy="2434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050" b="1">
              <a:latin typeface="Arial" panose="020B0604020202020204" pitchFamily="34" charset="0"/>
              <a:cs typeface="Arial" panose="020B0604020202020204" pitchFamily="34" charset="0"/>
            </a:rPr>
            <a:t>zum Beispiel</a:t>
          </a:r>
          <a:r>
            <a:rPr lang="de-DE" sz="1100">
              <a:latin typeface="+mj-lt"/>
            </a:rPr>
            <a:t>:</a:t>
          </a:r>
        </a:p>
      </xdr:txBody>
    </xdr:sp>
    <xdr:clientData/>
  </xdr:twoCellAnchor>
  <xdr:twoCellAnchor>
    <xdr:from>
      <xdr:col>0</xdr:col>
      <xdr:colOff>254639</xdr:colOff>
      <xdr:row>35</xdr:row>
      <xdr:rowOff>0</xdr:rowOff>
    </xdr:from>
    <xdr:to>
      <xdr:col>4</xdr:col>
      <xdr:colOff>247649</xdr:colOff>
      <xdr:row>37</xdr:row>
      <xdr:rowOff>38100</xdr:rowOff>
    </xdr:to>
    <xdr:sp macro="" textlink="">
      <xdr:nvSpPr>
        <xdr:cNvPr id="104" name="Textfeld 103">
          <a:extLst>
            <a:ext uri="{FF2B5EF4-FFF2-40B4-BE49-F238E27FC236}">
              <a16:creationId xmlns:a16="http://schemas.microsoft.com/office/drawing/2014/main" id="{00000000-0008-0000-0300-000068000000}"/>
            </a:ext>
          </a:extLst>
        </xdr:cNvPr>
        <xdr:cNvSpPr txBox="1"/>
      </xdr:nvSpPr>
      <xdr:spPr>
        <a:xfrm>
          <a:off x="254639" y="7505700"/>
          <a:ext cx="259333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DE" sz="1600" b="1">
              <a:latin typeface="Arial" panose="020B0604020202020204" pitchFamily="34" charset="0"/>
              <a:cs typeface="Arial" panose="020B0604020202020204" pitchFamily="34" charset="0"/>
            </a:rPr>
            <a:t>(1) STARTSEITE</a:t>
          </a:r>
        </a:p>
      </xdr:txBody>
    </xdr:sp>
    <xdr:clientData/>
  </xdr:twoCellAnchor>
  <xdr:twoCellAnchor>
    <xdr:from>
      <xdr:col>5</xdr:col>
      <xdr:colOff>580568</xdr:colOff>
      <xdr:row>46</xdr:row>
      <xdr:rowOff>4763</xdr:rowOff>
    </xdr:from>
    <xdr:to>
      <xdr:col>8</xdr:col>
      <xdr:colOff>211666</xdr:colOff>
      <xdr:row>46</xdr:row>
      <xdr:rowOff>133263</xdr:rowOff>
    </xdr:to>
    <xdr:cxnSp macro="">
      <xdr:nvCxnSpPr>
        <xdr:cNvPr id="109" name="Gerade Verbindung mit Pfeil 108">
          <a:extLst>
            <a:ext uri="{FF2B5EF4-FFF2-40B4-BE49-F238E27FC236}">
              <a16:creationId xmlns:a16="http://schemas.microsoft.com/office/drawing/2014/main" id="{00000000-0008-0000-0300-00006D000000}"/>
            </a:ext>
          </a:extLst>
        </xdr:cNvPr>
        <xdr:cNvCxnSpPr>
          <a:stCxn id="130" idx="1"/>
          <a:endCxn id="63" idx="3"/>
        </xdr:cNvCxnSpPr>
      </xdr:nvCxnSpPr>
      <xdr:spPr>
        <a:xfrm flipH="1">
          <a:off x="3923843" y="8853488"/>
          <a:ext cx="1917098" cy="128500"/>
        </a:xfrm>
        <a:prstGeom prst="straightConnector1">
          <a:avLst/>
        </a:prstGeom>
        <a:ln w="19050">
          <a:solidFill>
            <a:srgbClr val="C00000"/>
          </a:solidFill>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552450</xdr:colOff>
      <xdr:row>46</xdr:row>
      <xdr:rowOff>4763</xdr:rowOff>
    </xdr:from>
    <xdr:to>
      <xdr:col>8</xdr:col>
      <xdr:colOff>211666</xdr:colOff>
      <xdr:row>48</xdr:row>
      <xdr:rowOff>9525</xdr:rowOff>
    </xdr:to>
    <xdr:cxnSp macro="">
      <xdr:nvCxnSpPr>
        <xdr:cNvPr id="111" name="Gerade Verbindung mit Pfeil 110">
          <a:extLst>
            <a:ext uri="{FF2B5EF4-FFF2-40B4-BE49-F238E27FC236}">
              <a16:creationId xmlns:a16="http://schemas.microsoft.com/office/drawing/2014/main" id="{00000000-0008-0000-0300-00006F000000}"/>
            </a:ext>
          </a:extLst>
        </xdr:cNvPr>
        <xdr:cNvCxnSpPr>
          <a:stCxn id="130" idx="1"/>
        </xdr:cNvCxnSpPr>
      </xdr:nvCxnSpPr>
      <xdr:spPr>
        <a:xfrm flipH="1">
          <a:off x="3895725" y="8853488"/>
          <a:ext cx="1945216" cy="366712"/>
        </a:xfrm>
        <a:prstGeom prst="straightConnector1">
          <a:avLst/>
        </a:prstGeom>
        <a:ln w="19050">
          <a:solidFill>
            <a:srgbClr val="C00000"/>
          </a:solidFill>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37</xdr:row>
      <xdr:rowOff>105837</xdr:rowOff>
    </xdr:from>
    <xdr:to>
      <xdr:col>8</xdr:col>
      <xdr:colOff>285750</xdr:colOff>
      <xdr:row>39</xdr:row>
      <xdr:rowOff>66675</xdr:rowOff>
    </xdr:to>
    <xdr:sp macro="" textlink="">
      <xdr:nvSpPr>
        <xdr:cNvPr id="113" name="Textfeld 112">
          <a:extLst>
            <a:ext uri="{FF2B5EF4-FFF2-40B4-BE49-F238E27FC236}">
              <a16:creationId xmlns:a16="http://schemas.microsoft.com/office/drawing/2014/main" id="{00000000-0008-0000-0300-000071000000}"/>
            </a:ext>
          </a:extLst>
        </xdr:cNvPr>
        <xdr:cNvSpPr txBox="1"/>
      </xdr:nvSpPr>
      <xdr:spPr>
        <a:xfrm>
          <a:off x="295275" y="7325787"/>
          <a:ext cx="5619750" cy="322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lnSpc>
              <a:spcPts val="900"/>
            </a:lnSpc>
          </a:pPr>
          <a:r>
            <a:rPr lang="de-DE" sz="1050">
              <a:solidFill>
                <a:schemeClr val="dk1"/>
              </a:solidFill>
              <a:latin typeface="Arial" panose="020B0604020202020204" pitchFamily="34" charset="0"/>
              <a:ea typeface="+mn-ea"/>
              <a:cs typeface="Arial" panose="020B0604020202020204" pitchFamily="34" charset="0"/>
            </a:rPr>
            <a:t>Wenn Sie die Datei das erste Mal öffnen,</a:t>
          </a:r>
          <a:r>
            <a:rPr lang="de-DE" sz="1050" baseline="0">
              <a:solidFill>
                <a:schemeClr val="dk1"/>
              </a:solidFill>
              <a:latin typeface="Arial" panose="020B0604020202020204" pitchFamily="34" charset="0"/>
              <a:ea typeface="+mn-ea"/>
              <a:cs typeface="Arial" panose="020B0604020202020204" pitchFamily="34" charset="0"/>
            </a:rPr>
            <a:t> sehen Sie die </a:t>
          </a:r>
          <a:r>
            <a:rPr lang="de-DE" sz="1050" b="1" baseline="0">
              <a:solidFill>
                <a:schemeClr val="dk1"/>
              </a:solidFill>
              <a:latin typeface="Arial" panose="020B0604020202020204" pitchFamily="34" charset="0"/>
              <a:ea typeface="+mn-ea"/>
              <a:cs typeface="Arial" panose="020B0604020202020204" pitchFamily="34" charset="0"/>
            </a:rPr>
            <a:t>Startseite </a:t>
          </a:r>
          <a:r>
            <a:rPr lang="de-DE" sz="1050" baseline="0">
              <a:solidFill>
                <a:schemeClr val="dk1"/>
              </a:solidFill>
              <a:latin typeface="Arial" panose="020B0604020202020204" pitchFamily="34" charset="0"/>
              <a:ea typeface="+mn-ea"/>
              <a:cs typeface="Arial" panose="020B0604020202020204" pitchFamily="34" charset="0"/>
            </a:rPr>
            <a:t> (Tabellenblatt 1) vor sich. </a:t>
          </a:r>
          <a:endParaRPr lang="de-DE" sz="400" b="1" i="1">
            <a:solidFill>
              <a:schemeClr val="dk1"/>
            </a:solidFill>
            <a:latin typeface="Arial" panose="020B0604020202020204" pitchFamily="34" charset="0"/>
            <a:ea typeface="+mn-ea"/>
            <a:cs typeface="Arial" panose="020B0604020202020204" pitchFamily="34" charset="0"/>
          </a:endParaRPr>
        </a:p>
        <a:p>
          <a:pPr algn="l">
            <a:lnSpc>
              <a:spcPts val="1000"/>
            </a:lnSpc>
          </a:pPr>
          <a:endParaRPr lang="de-DE" sz="105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552450</xdr:colOff>
      <xdr:row>46</xdr:row>
      <xdr:rowOff>4763</xdr:rowOff>
    </xdr:from>
    <xdr:to>
      <xdr:col>8</xdr:col>
      <xdr:colOff>211666</xdr:colOff>
      <xdr:row>49</xdr:row>
      <xdr:rowOff>28575</xdr:rowOff>
    </xdr:to>
    <xdr:cxnSp macro="">
      <xdr:nvCxnSpPr>
        <xdr:cNvPr id="115" name="Gerade Verbindung mit Pfeil 114">
          <a:extLst>
            <a:ext uri="{FF2B5EF4-FFF2-40B4-BE49-F238E27FC236}">
              <a16:creationId xmlns:a16="http://schemas.microsoft.com/office/drawing/2014/main" id="{00000000-0008-0000-0300-000073000000}"/>
            </a:ext>
          </a:extLst>
        </xdr:cNvPr>
        <xdr:cNvCxnSpPr>
          <a:stCxn id="130" idx="1"/>
        </xdr:cNvCxnSpPr>
      </xdr:nvCxnSpPr>
      <xdr:spPr>
        <a:xfrm flipH="1">
          <a:off x="3895725" y="8853488"/>
          <a:ext cx="1945216" cy="566737"/>
        </a:xfrm>
        <a:prstGeom prst="straightConnector1">
          <a:avLst/>
        </a:prstGeom>
        <a:ln w="19050">
          <a:solidFill>
            <a:srgbClr val="C00000"/>
          </a:solidFill>
          <a:prstDash val="dash"/>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311155</xdr:colOff>
      <xdr:row>54</xdr:row>
      <xdr:rowOff>0</xdr:rowOff>
    </xdr:from>
    <xdr:to>
      <xdr:col>10</xdr:col>
      <xdr:colOff>407041</xdr:colOff>
      <xdr:row>59</xdr:row>
      <xdr:rowOff>14742</xdr:rowOff>
    </xdr:to>
    <xdr:sp macro="" textlink="">
      <xdr:nvSpPr>
        <xdr:cNvPr id="132" name="Textfeld 131">
          <a:extLst>
            <a:ext uri="{FF2B5EF4-FFF2-40B4-BE49-F238E27FC236}">
              <a16:creationId xmlns:a16="http://schemas.microsoft.com/office/drawing/2014/main" id="{00000000-0008-0000-0300-000084000000}"/>
            </a:ext>
          </a:extLst>
        </xdr:cNvPr>
        <xdr:cNvSpPr txBox="1"/>
      </xdr:nvSpPr>
      <xdr:spPr>
        <a:xfrm>
          <a:off x="311155" y="8999995"/>
          <a:ext cx="7271386" cy="1005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lnSpc>
              <a:spcPts val="1500"/>
            </a:lnSpc>
          </a:pPr>
          <a:r>
            <a:rPr lang="de-DE" sz="1100" baseline="0">
              <a:solidFill>
                <a:schemeClr val="dk1"/>
              </a:solidFill>
              <a:latin typeface="Arial" panose="020B0604020202020204" pitchFamily="34" charset="0"/>
              <a:ea typeface="+mn-ea"/>
              <a:cs typeface="Arial" panose="020B0604020202020204" pitchFamily="34" charset="0"/>
            </a:rPr>
            <a:t>Nach Eingabe der Daten (unter dem "Lehrerinformationstext") gelangen Sie </a:t>
          </a:r>
        </a:p>
        <a:p>
          <a:pPr algn="l">
            <a:lnSpc>
              <a:spcPts val="1400"/>
            </a:lnSpc>
          </a:pPr>
          <a:r>
            <a:rPr lang="de-DE" sz="1100" baseline="0">
              <a:solidFill>
                <a:schemeClr val="dk1"/>
              </a:solidFill>
              <a:latin typeface="Arial" panose="020B0604020202020204" pitchFamily="34" charset="0"/>
              <a:ea typeface="+mn-ea"/>
              <a:cs typeface="Arial" panose="020B0604020202020204" pitchFamily="34" charset="0"/>
            </a:rPr>
            <a:t>durch einen linken Mausklick auf den </a:t>
          </a:r>
          <a:r>
            <a:rPr lang="de-DE" sz="1100" b="1" u="sng" baseline="0">
              <a:solidFill>
                <a:srgbClr val="6FCC0D"/>
              </a:solidFill>
              <a:latin typeface="Arial" panose="020B0604020202020204" pitchFamily="34" charset="0"/>
              <a:ea typeface="+mn-ea"/>
              <a:cs typeface="Arial" panose="020B0604020202020204" pitchFamily="34" charset="0"/>
            </a:rPr>
            <a:t>grünen BUTTON</a:t>
          </a:r>
          <a:r>
            <a:rPr lang="de-DE" sz="1100" b="1" u="none" baseline="0">
              <a:solidFill>
                <a:srgbClr val="6FCC0D"/>
              </a:solidFill>
              <a:latin typeface="Arial" panose="020B0604020202020204" pitchFamily="34" charset="0"/>
              <a:ea typeface="+mn-ea"/>
              <a:cs typeface="Arial" panose="020B0604020202020204" pitchFamily="34" charset="0"/>
            </a:rPr>
            <a:t> </a:t>
          </a:r>
          <a:r>
            <a:rPr lang="de-DE" sz="1100" baseline="0">
              <a:solidFill>
                <a:schemeClr val="dk1"/>
              </a:solidFill>
              <a:latin typeface="Arial" panose="020B0604020202020204" pitchFamily="34" charset="0"/>
              <a:ea typeface="+mn-ea"/>
              <a:cs typeface="Arial" panose="020B0604020202020204" pitchFamily="34" charset="0"/>
            </a:rPr>
            <a:t>in das nächste</a:t>
          </a:r>
        </a:p>
        <a:p>
          <a:pPr algn="l">
            <a:lnSpc>
              <a:spcPts val="1500"/>
            </a:lnSpc>
          </a:pPr>
          <a:r>
            <a:rPr lang="de-DE" sz="1100" baseline="0">
              <a:solidFill>
                <a:schemeClr val="dk1"/>
              </a:solidFill>
              <a:latin typeface="Arial" panose="020B0604020202020204" pitchFamily="34" charset="0"/>
              <a:ea typeface="+mn-ea"/>
              <a:cs typeface="Arial" panose="020B0604020202020204" pitchFamily="34" charset="0"/>
            </a:rPr>
            <a:t>Tabellenblatt: "Befragung zum Test".</a:t>
          </a:r>
          <a:endParaRPr lang="de-DE">
            <a:latin typeface="Arial" panose="020B0604020202020204" pitchFamily="34" charset="0"/>
            <a:cs typeface="Arial" panose="020B0604020202020204" pitchFamily="34" charset="0"/>
          </a:endParaRPr>
        </a:p>
        <a:p>
          <a:pPr algn="l">
            <a:lnSpc>
              <a:spcPts val="500"/>
            </a:lnSpc>
          </a:pPr>
          <a:endParaRPr lang="de-DE" sz="500" b="1" i="1">
            <a:solidFill>
              <a:schemeClr val="dk1"/>
            </a:solidFill>
            <a:latin typeface="Arial" panose="020B0604020202020204" pitchFamily="34" charset="0"/>
            <a:ea typeface="+mn-ea"/>
            <a:cs typeface="Arial" panose="020B0604020202020204" pitchFamily="34" charset="0"/>
          </a:endParaRPr>
        </a:p>
        <a:p>
          <a:pPr algn="l">
            <a:lnSpc>
              <a:spcPts val="1000"/>
            </a:lnSpc>
          </a:pPr>
          <a:endParaRPr lang="de-DE"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xdr:col>
      <xdr:colOff>21172</xdr:colOff>
      <xdr:row>30</xdr:row>
      <xdr:rowOff>87913</xdr:rowOff>
    </xdr:from>
    <xdr:to>
      <xdr:col>6</xdr:col>
      <xdr:colOff>103718</xdr:colOff>
      <xdr:row>34</xdr:row>
      <xdr:rowOff>140827</xdr:rowOff>
    </xdr:to>
    <xdr:sp macro="" textlink="">
      <xdr:nvSpPr>
        <xdr:cNvPr id="139" name="Textfeld 138">
          <a:extLst>
            <a:ext uri="{FF2B5EF4-FFF2-40B4-BE49-F238E27FC236}">
              <a16:creationId xmlns:a16="http://schemas.microsoft.com/office/drawing/2014/main" id="{00000000-0008-0000-0300-00008B000000}"/>
            </a:ext>
          </a:extLst>
        </xdr:cNvPr>
        <xdr:cNvSpPr txBox="1"/>
      </xdr:nvSpPr>
      <xdr:spPr>
        <a:xfrm>
          <a:off x="316447" y="6041038"/>
          <a:ext cx="3892546" cy="776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lnSpc>
              <a:spcPts val="1100"/>
            </a:lnSpc>
          </a:pPr>
          <a:r>
            <a:rPr lang="de-DE" sz="1050">
              <a:solidFill>
                <a:schemeClr val="dk1"/>
              </a:solidFill>
              <a:latin typeface="Arial" panose="020B0604020202020204" pitchFamily="34" charset="0"/>
              <a:ea typeface="+mn-ea"/>
              <a:cs typeface="Arial" panose="020B0604020202020204" pitchFamily="34" charset="0"/>
            </a:rPr>
            <a:t>Des Weiteren enthält jedes</a:t>
          </a:r>
          <a:r>
            <a:rPr lang="de-DE" sz="1050" baseline="0">
              <a:solidFill>
                <a:schemeClr val="dk1"/>
              </a:solidFill>
              <a:latin typeface="Arial" panose="020B0604020202020204" pitchFamily="34" charset="0"/>
              <a:ea typeface="+mn-ea"/>
              <a:cs typeface="Arial" panose="020B0604020202020204" pitchFamily="34" charset="0"/>
            </a:rPr>
            <a:t> Tabellenblatt </a:t>
          </a:r>
          <a:r>
            <a:rPr lang="de-DE" sz="1050" b="1" u="sng" baseline="0">
              <a:solidFill>
                <a:srgbClr val="C00000"/>
              </a:solidFill>
              <a:latin typeface="Arial" panose="020B0604020202020204" pitchFamily="34" charset="0"/>
              <a:ea typeface="+mn-ea"/>
              <a:cs typeface="Arial" panose="020B0604020202020204" pitchFamily="34" charset="0"/>
            </a:rPr>
            <a:t>rote Buttons</a:t>
          </a:r>
          <a:r>
            <a:rPr lang="de-DE" sz="1050" baseline="0">
              <a:solidFill>
                <a:schemeClr val="dk1"/>
              </a:solidFill>
              <a:latin typeface="Arial" panose="020B0604020202020204" pitchFamily="34" charset="0"/>
              <a:ea typeface="+mn-ea"/>
              <a:cs typeface="Arial" panose="020B0604020202020204" pitchFamily="34" charset="0"/>
            </a:rPr>
            <a:t>, die Sie auf das aktuell geöffnete Tabellenblatt "Hilfe bei der Dateneingabe" führen.</a:t>
          </a:r>
        </a:p>
        <a:p>
          <a:pPr algn="l">
            <a:lnSpc>
              <a:spcPts val="1300"/>
            </a:lnSpc>
          </a:pPr>
          <a:endParaRPr lang="de-DE" sz="400" b="1" i="1">
            <a:solidFill>
              <a:schemeClr val="dk1"/>
            </a:solidFill>
            <a:latin typeface="Arial" panose="020B0604020202020204" pitchFamily="34" charset="0"/>
            <a:ea typeface="+mn-ea"/>
            <a:cs typeface="Arial" panose="020B0604020202020204" pitchFamily="34" charset="0"/>
          </a:endParaRPr>
        </a:p>
        <a:p>
          <a:pPr algn="l">
            <a:lnSpc>
              <a:spcPts val="1200"/>
            </a:lnSpc>
          </a:pPr>
          <a:endParaRPr lang="de-DE" sz="105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304800</xdr:colOff>
      <xdr:row>56</xdr:row>
      <xdr:rowOff>104775</xdr:rowOff>
    </xdr:from>
    <xdr:to>
      <xdr:col>6</xdr:col>
      <xdr:colOff>657225</xdr:colOff>
      <xdr:row>57</xdr:row>
      <xdr:rowOff>142875</xdr:rowOff>
    </xdr:to>
    <xdr:cxnSp macro="">
      <xdr:nvCxnSpPr>
        <xdr:cNvPr id="12" name="Gewinkelte Verbindung 11">
          <a:extLst>
            <a:ext uri="{FF2B5EF4-FFF2-40B4-BE49-F238E27FC236}">
              <a16:creationId xmlns:a16="http://schemas.microsoft.com/office/drawing/2014/main" id="{00000000-0008-0000-0300-00000C000000}"/>
            </a:ext>
          </a:extLst>
        </xdr:cNvPr>
        <xdr:cNvCxnSpPr/>
      </xdr:nvCxnSpPr>
      <xdr:spPr>
        <a:xfrm>
          <a:off x="2886075" y="11801475"/>
          <a:ext cx="1876425" cy="228600"/>
        </a:xfrm>
        <a:prstGeom prst="bentConnector3">
          <a:avLst>
            <a:gd name="adj1" fmla="val -254"/>
          </a:avLst>
        </a:prstGeom>
        <a:ln w="19050">
          <a:solidFill>
            <a:srgbClr val="C00000"/>
          </a:solidFill>
          <a:headEnd type="ova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245114</xdr:colOff>
      <xdr:row>60</xdr:row>
      <xdr:rowOff>9525</xdr:rowOff>
    </xdr:from>
    <xdr:to>
      <xdr:col>4</xdr:col>
      <xdr:colOff>238124</xdr:colOff>
      <xdr:row>62</xdr:row>
      <xdr:rowOff>47625</xdr:rowOff>
    </xdr:to>
    <xdr:sp macro="" textlink="">
      <xdr:nvSpPr>
        <xdr:cNvPr id="114" name="Textfeld 113">
          <a:extLst>
            <a:ext uri="{FF2B5EF4-FFF2-40B4-BE49-F238E27FC236}">
              <a16:creationId xmlns:a16="http://schemas.microsoft.com/office/drawing/2014/main" id="{00000000-0008-0000-0300-000072000000}"/>
            </a:ext>
          </a:extLst>
        </xdr:cNvPr>
        <xdr:cNvSpPr txBox="1"/>
      </xdr:nvSpPr>
      <xdr:spPr>
        <a:xfrm>
          <a:off x="245114" y="16849725"/>
          <a:ext cx="259333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DE" sz="1600" b="1">
              <a:latin typeface="Arial" panose="020B0604020202020204" pitchFamily="34" charset="0"/>
              <a:cs typeface="Arial" panose="020B0604020202020204" pitchFamily="34" charset="0"/>
            </a:rPr>
            <a:t>(2) SCHÜLERPROFIL</a:t>
          </a:r>
        </a:p>
      </xdr:txBody>
    </xdr:sp>
    <xdr:clientData/>
  </xdr:twoCellAnchor>
  <xdr:twoCellAnchor>
    <xdr:from>
      <xdr:col>5</xdr:col>
      <xdr:colOff>581025</xdr:colOff>
      <xdr:row>84</xdr:row>
      <xdr:rowOff>171450</xdr:rowOff>
    </xdr:from>
    <xdr:to>
      <xdr:col>11</xdr:col>
      <xdr:colOff>219074</xdr:colOff>
      <xdr:row>96</xdr:row>
      <xdr:rowOff>9525</xdr:rowOff>
    </xdr:to>
    <xdr:sp macro="" textlink="">
      <xdr:nvSpPr>
        <xdr:cNvPr id="127" name="Textfeld 126">
          <a:extLst>
            <a:ext uri="{FF2B5EF4-FFF2-40B4-BE49-F238E27FC236}">
              <a16:creationId xmlns:a16="http://schemas.microsoft.com/office/drawing/2014/main" id="{00000000-0008-0000-0300-00007F000000}"/>
            </a:ext>
          </a:extLst>
        </xdr:cNvPr>
        <xdr:cNvSpPr txBox="1"/>
      </xdr:nvSpPr>
      <xdr:spPr>
        <a:xfrm>
          <a:off x="3924300" y="17211675"/>
          <a:ext cx="4210049" cy="2143125"/>
        </a:xfrm>
        <a:prstGeom prst="rect">
          <a:avLst/>
        </a:prstGeom>
        <a:ln>
          <a:gradFill flip="none" rotWithShape="1">
            <a:gsLst>
              <a:gs pos="0">
                <a:srgbClr val="00BECE"/>
              </a:gs>
              <a:gs pos="100000">
                <a:srgbClr val="6FCC0D"/>
              </a:gs>
            </a:gsLst>
            <a:lin ang="0" scaled="1"/>
            <a:tileRect/>
          </a:grad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500"/>
            </a:lnSpc>
          </a:pP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Teilnahme Sport-AG </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Kategorien "ja / nein"</a:t>
          </a:r>
        </a:p>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Da im Durchschnitt weniger als 50 % der Schülerinnen und Schüler an einer Sport-AG teilnehmen, ist (zur Zeitersparnis) immer die Kategorie "nein" vorgegeben.</a:t>
          </a:r>
        </a:p>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Eingabe Ihrer Daten erfolgt über Auswahl-Buttons. Durch einen linken Mausklick  in die Zelle erscheint rechts der Zelle ein </a:t>
          </a:r>
          <a:r>
            <a:rPr kumimoji="0" lang="de-DE" sz="105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kleines Kästchen mit einem nach unten zeigenden Dreieck</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Wenn Sie auf das Kästchen klicken, werden alle Kategorien, die zur Auswahl stehen angezeigt (hier "ja" und "nein").  Durch einen linken Mausklick auf die Kategorie, wählen Sie diese aus (hier "ja").</a:t>
          </a:r>
        </a:p>
      </xdr:txBody>
    </xdr:sp>
    <xdr:clientData/>
  </xdr:twoCellAnchor>
  <xdr:twoCellAnchor>
    <xdr:from>
      <xdr:col>2</xdr:col>
      <xdr:colOff>590550</xdr:colOff>
      <xdr:row>92</xdr:row>
      <xdr:rowOff>19050</xdr:rowOff>
    </xdr:from>
    <xdr:to>
      <xdr:col>5</xdr:col>
      <xdr:colOff>542925</xdr:colOff>
      <xdr:row>94</xdr:row>
      <xdr:rowOff>0</xdr:rowOff>
    </xdr:to>
    <xdr:cxnSp macro="">
      <xdr:nvCxnSpPr>
        <xdr:cNvPr id="4141" name="AutoShape 7">
          <a:extLst>
            <a:ext uri="{FF2B5EF4-FFF2-40B4-BE49-F238E27FC236}">
              <a16:creationId xmlns:a16="http://schemas.microsoft.com/office/drawing/2014/main" id="{00000000-0008-0000-0300-00002D100000}"/>
            </a:ext>
          </a:extLst>
        </xdr:cNvPr>
        <xdr:cNvCxnSpPr>
          <a:cxnSpLocks noChangeShapeType="1"/>
        </xdr:cNvCxnSpPr>
      </xdr:nvCxnSpPr>
      <xdr:spPr bwMode="auto">
        <a:xfrm flipH="1" flipV="1">
          <a:off x="1647825" y="17268825"/>
          <a:ext cx="2238375" cy="361950"/>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657225</xdr:colOff>
      <xdr:row>91</xdr:row>
      <xdr:rowOff>57150</xdr:rowOff>
    </xdr:from>
    <xdr:to>
      <xdr:col>5</xdr:col>
      <xdr:colOff>542925</xdr:colOff>
      <xdr:row>92</xdr:row>
      <xdr:rowOff>19050</xdr:rowOff>
    </xdr:to>
    <xdr:cxnSp macro="">
      <xdr:nvCxnSpPr>
        <xdr:cNvPr id="134" name="Gerade Verbindung mit Pfeil 133">
          <a:extLst>
            <a:ext uri="{FF2B5EF4-FFF2-40B4-BE49-F238E27FC236}">
              <a16:creationId xmlns:a16="http://schemas.microsoft.com/office/drawing/2014/main" id="{00000000-0008-0000-0300-000086000000}"/>
            </a:ext>
          </a:extLst>
        </xdr:cNvPr>
        <xdr:cNvCxnSpPr/>
      </xdr:nvCxnSpPr>
      <xdr:spPr>
        <a:xfrm flipH="1" flipV="1">
          <a:off x="1714500" y="17116425"/>
          <a:ext cx="2171700" cy="152400"/>
        </a:xfrm>
        <a:prstGeom prst="straightConnector1">
          <a:avLst/>
        </a:prstGeom>
        <a:ln w="19050">
          <a:solidFill>
            <a:srgbClr val="C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657225</xdr:colOff>
      <xdr:row>99</xdr:row>
      <xdr:rowOff>57150</xdr:rowOff>
    </xdr:from>
    <xdr:to>
      <xdr:col>11</xdr:col>
      <xdr:colOff>180975</xdr:colOff>
      <xdr:row>105</xdr:row>
      <xdr:rowOff>47626</xdr:rowOff>
    </xdr:to>
    <xdr:sp macro="" textlink="">
      <xdr:nvSpPr>
        <xdr:cNvPr id="143" name="Textfeld 142">
          <a:extLst>
            <a:ext uri="{FF2B5EF4-FFF2-40B4-BE49-F238E27FC236}">
              <a16:creationId xmlns:a16="http://schemas.microsoft.com/office/drawing/2014/main" id="{00000000-0008-0000-0300-00008F000000}"/>
            </a:ext>
          </a:extLst>
        </xdr:cNvPr>
        <xdr:cNvSpPr txBox="1"/>
      </xdr:nvSpPr>
      <xdr:spPr>
        <a:xfrm>
          <a:off x="4019550" y="23183850"/>
          <a:ext cx="4095750" cy="1133476"/>
        </a:xfrm>
        <a:prstGeom prst="rect">
          <a:avLst/>
        </a:prstGeom>
        <a:ln>
          <a:gradFill flip="none" rotWithShape="1">
            <a:gsLst>
              <a:gs pos="0">
                <a:srgbClr val="00BECE"/>
              </a:gs>
              <a:gs pos="100000">
                <a:srgbClr val="6FCC0D"/>
              </a:gs>
            </a:gsLst>
            <a:lin ang="0" scaled="1"/>
            <a:tileRect/>
          </a:grad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Wie bei den Kategorien "ja / nein" in der Spalte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Teilnahme</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gibt es auch bei der besuchten Charakterisierung der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Sport-AG </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vorgegebene Kategorien aus denen mit Hilfe der Auswahl-Buttons gewählt werden kann (hier "Leichtathletik").</a:t>
          </a:r>
          <a:endParaRPr lang="de-DE" sz="105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95250</xdr:colOff>
      <xdr:row>103</xdr:row>
      <xdr:rowOff>9525</xdr:rowOff>
    </xdr:from>
    <xdr:to>
      <xdr:col>5</xdr:col>
      <xdr:colOff>571500</xdr:colOff>
      <xdr:row>107</xdr:row>
      <xdr:rowOff>161925</xdr:rowOff>
    </xdr:to>
    <xdr:cxnSp macro="">
      <xdr:nvCxnSpPr>
        <xdr:cNvPr id="4144" name="AutoShape 7">
          <a:extLst>
            <a:ext uri="{FF2B5EF4-FFF2-40B4-BE49-F238E27FC236}">
              <a16:creationId xmlns:a16="http://schemas.microsoft.com/office/drawing/2014/main" id="{00000000-0008-0000-0300-000030100000}"/>
            </a:ext>
          </a:extLst>
        </xdr:cNvPr>
        <xdr:cNvCxnSpPr>
          <a:cxnSpLocks noChangeShapeType="1"/>
        </xdr:cNvCxnSpPr>
      </xdr:nvCxnSpPr>
      <xdr:spPr bwMode="auto">
        <a:xfrm flipH="1">
          <a:off x="2676525" y="19288125"/>
          <a:ext cx="1238250" cy="876300"/>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0</xdr:col>
      <xdr:colOff>257173</xdr:colOff>
      <xdr:row>123</xdr:row>
      <xdr:rowOff>28573</xdr:rowOff>
    </xdr:from>
    <xdr:to>
      <xdr:col>10</xdr:col>
      <xdr:colOff>68036</xdr:colOff>
      <xdr:row>132</xdr:row>
      <xdr:rowOff>123825</xdr:rowOff>
    </xdr:to>
    <xdr:sp macro="" textlink="">
      <xdr:nvSpPr>
        <xdr:cNvPr id="152" name="Textfeld 151">
          <a:extLst>
            <a:ext uri="{FF2B5EF4-FFF2-40B4-BE49-F238E27FC236}">
              <a16:creationId xmlns:a16="http://schemas.microsoft.com/office/drawing/2014/main" id="{00000000-0008-0000-0300-000098000000}"/>
            </a:ext>
          </a:extLst>
        </xdr:cNvPr>
        <xdr:cNvSpPr txBox="1"/>
      </xdr:nvSpPr>
      <xdr:spPr>
        <a:xfrm>
          <a:off x="257173" y="22534787"/>
          <a:ext cx="6968220" cy="1714502"/>
        </a:xfrm>
        <a:prstGeom prst="rect">
          <a:avLst/>
        </a:prstGeom>
        <a:ln>
          <a:gradFill flip="none" rotWithShape="1">
            <a:gsLst>
              <a:gs pos="0">
                <a:srgbClr val="00BECE"/>
              </a:gs>
              <a:gs pos="100000">
                <a:srgbClr val="6FCC0D"/>
              </a:gs>
            </a:gsLst>
            <a:lin ang="0" scaled="1"/>
            <a:tileRect/>
          </a:grad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600"/>
            </a:lnSpc>
            <a:spcBef>
              <a:spcPts val="0"/>
            </a:spcBef>
          </a:pP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Mitglied im Sportverein: </a:t>
          </a:r>
        </a:p>
        <a:p>
          <a:pPr algn="l">
            <a:lnSpc>
              <a:spcPts val="1600"/>
            </a:lnSpc>
            <a:spcBef>
              <a:spcPts val="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Auswahl der Angabe ("ja" oder "nein") erfolgt identisch zurm Verfahren bei der </a:t>
          </a:r>
        </a:p>
        <a:p>
          <a:pPr algn="l">
            <a:lnSpc>
              <a:spcPts val="1600"/>
            </a:lnSpc>
            <a:spcBef>
              <a:spcPts val="0"/>
            </a:spcBef>
          </a:pP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Teilnahme  an einer Sport-AG. </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Voreinstellung ist auch hier "nein".)</a:t>
          </a:r>
        </a:p>
        <a:p>
          <a:pPr algn="l">
            <a:lnSpc>
              <a:spcPts val="25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der Frage nach der betriebenen Sportart ist ebenso aus vorgegeben Kategorien zu wählen. </a:t>
          </a:r>
        </a:p>
        <a:p>
          <a:pPr algn="l">
            <a:lnSpc>
              <a:spcPts val="24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Machen Sie bitte zusätzlich noch eine Angabe (Zahlenwert) zur Häufigkeit der betriebenen Sportart(en) - hier "3".</a:t>
          </a:r>
          <a:endParaRPr lang="de-DE" sz="1050" b="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457200</xdr:colOff>
      <xdr:row>133</xdr:row>
      <xdr:rowOff>76199</xdr:rowOff>
    </xdr:from>
    <xdr:to>
      <xdr:col>10</xdr:col>
      <xdr:colOff>40822</xdr:colOff>
      <xdr:row>137</xdr:row>
      <xdr:rowOff>163286</xdr:rowOff>
    </xdr:to>
    <xdr:sp macro="" textlink="">
      <xdr:nvSpPr>
        <xdr:cNvPr id="156" name="Textfeld 155">
          <a:extLst>
            <a:ext uri="{FF2B5EF4-FFF2-40B4-BE49-F238E27FC236}">
              <a16:creationId xmlns:a16="http://schemas.microsoft.com/office/drawing/2014/main" id="{00000000-0008-0000-0300-00009C000000}"/>
            </a:ext>
          </a:extLst>
        </xdr:cNvPr>
        <xdr:cNvSpPr txBox="1"/>
      </xdr:nvSpPr>
      <xdr:spPr>
        <a:xfrm>
          <a:off x="4566557" y="24392163"/>
          <a:ext cx="2631622" cy="821873"/>
        </a:xfrm>
        <a:prstGeom prst="rect">
          <a:avLst/>
        </a:prstGeom>
        <a:ln>
          <a:gradFill flip="none" rotWithShape="1">
            <a:gsLst>
              <a:gs pos="0">
                <a:srgbClr val="00BECE"/>
              </a:gs>
              <a:gs pos="100000">
                <a:srgbClr val="6FCC0D"/>
              </a:gs>
            </a:gsLst>
            <a:lin ang="0" scaled="1"/>
            <a:tileRect/>
          </a:grad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400"/>
            </a:lnSpc>
          </a:pPr>
          <a:r>
            <a:rPr kumimoji="0" lang="de-DE" sz="11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Durch einen linken Mausklick auf den grünen Button über der Tabelle gelangen Sie zur Eingabe der Testdaten.</a:t>
          </a:r>
          <a:endParaRPr lang="de-DE"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695325</xdr:colOff>
      <xdr:row>135</xdr:row>
      <xdr:rowOff>66675</xdr:rowOff>
    </xdr:from>
    <xdr:to>
      <xdr:col>6</xdr:col>
      <xdr:colOff>365325</xdr:colOff>
      <xdr:row>135</xdr:row>
      <xdr:rowOff>66675</xdr:rowOff>
    </xdr:to>
    <xdr:cxnSp macro="">
      <xdr:nvCxnSpPr>
        <xdr:cNvPr id="157" name="Gerade Verbindung mit Pfeil 156">
          <a:extLst>
            <a:ext uri="{FF2B5EF4-FFF2-40B4-BE49-F238E27FC236}">
              <a16:creationId xmlns:a16="http://schemas.microsoft.com/office/drawing/2014/main" id="{00000000-0008-0000-0300-00009D000000}"/>
            </a:ext>
          </a:extLst>
        </xdr:cNvPr>
        <xdr:cNvCxnSpPr/>
      </xdr:nvCxnSpPr>
      <xdr:spPr>
        <a:xfrm flipH="1" flipV="1">
          <a:off x="4038600" y="25184100"/>
          <a:ext cx="432000" cy="0"/>
        </a:xfrm>
        <a:prstGeom prst="straightConnector1">
          <a:avLst/>
        </a:prstGeom>
        <a:ln w="19050">
          <a:solidFill>
            <a:srgbClr val="C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161925</xdr:colOff>
      <xdr:row>145</xdr:row>
      <xdr:rowOff>104774</xdr:rowOff>
    </xdr:from>
    <xdr:to>
      <xdr:col>10</xdr:col>
      <xdr:colOff>66675</xdr:colOff>
      <xdr:row>157</xdr:row>
      <xdr:rowOff>161925</xdr:rowOff>
    </xdr:to>
    <xdr:sp macro="" textlink="">
      <xdr:nvSpPr>
        <xdr:cNvPr id="158" name="Textfeld 157">
          <a:extLst>
            <a:ext uri="{FF2B5EF4-FFF2-40B4-BE49-F238E27FC236}">
              <a16:creationId xmlns:a16="http://schemas.microsoft.com/office/drawing/2014/main" id="{00000000-0008-0000-0300-00009E000000}"/>
            </a:ext>
          </a:extLst>
        </xdr:cNvPr>
        <xdr:cNvSpPr txBox="1"/>
      </xdr:nvSpPr>
      <xdr:spPr>
        <a:xfrm>
          <a:off x="4267200" y="27031949"/>
          <a:ext cx="2952750" cy="2228851"/>
        </a:xfrm>
        <a:prstGeom prst="rect">
          <a:avLst/>
        </a:prstGeom>
        <a:ln>
          <a:gradFill flip="none" rotWithShape="1">
            <a:gsLst>
              <a:gs pos="0">
                <a:srgbClr val="00BECE"/>
              </a:gs>
              <a:gs pos="100000">
                <a:srgbClr val="6FCC0D"/>
              </a:gs>
            </a:gsLst>
            <a:lin ang="0" scaled="1"/>
            <a:tileRect/>
          </a:grad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7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Wie weiter oben unter "(2) SCHÜLERPROFIL " genannt, werden die Schülercodes automatisch aus dem Schülerprofil in die Tabelle mit den "TEST-Daten" übernommen.</a:t>
          </a:r>
        </a:p>
        <a:p>
          <a:pPr algn="l">
            <a:lnSpc>
              <a:spcPts val="17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Sofern Sie in Ihrer Klasse inkludierte Schüler unterrichten, wählen Sie bitte den jeweiligen Förderschwerpunkt aus.  </a:t>
          </a:r>
        </a:p>
        <a:p>
          <a:pPr algn="l">
            <a:lnSpc>
              <a:spcPts val="1700"/>
            </a:lnSpc>
            <a:spcBef>
              <a:spcPts val="600"/>
            </a:spcBef>
          </a:pPr>
          <a:r>
            <a:rPr kumimoji="0" lang="de-DE" sz="105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Die Leistungswerte aus allen Testaufgaben werden manuell eingegeben. </a:t>
          </a:r>
        </a:p>
        <a:p>
          <a:pPr algn="l">
            <a:lnSpc>
              <a:spcPts val="17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7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4</xdr:col>
      <xdr:colOff>171450</xdr:colOff>
      <xdr:row>152</xdr:row>
      <xdr:rowOff>104775</xdr:rowOff>
    </xdr:from>
    <xdr:to>
      <xdr:col>6</xdr:col>
      <xdr:colOff>180975</xdr:colOff>
      <xdr:row>154</xdr:row>
      <xdr:rowOff>76200</xdr:rowOff>
    </xdr:to>
    <xdr:cxnSp macro="">
      <xdr:nvCxnSpPr>
        <xdr:cNvPr id="4149" name="AutoShape 7">
          <a:extLst>
            <a:ext uri="{FF2B5EF4-FFF2-40B4-BE49-F238E27FC236}">
              <a16:creationId xmlns:a16="http://schemas.microsoft.com/office/drawing/2014/main" id="{00000000-0008-0000-0300-000035100000}"/>
            </a:ext>
          </a:extLst>
        </xdr:cNvPr>
        <xdr:cNvCxnSpPr>
          <a:cxnSpLocks noChangeShapeType="1"/>
        </xdr:cNvCxnSpPr>
      </xdr:nvCxnSpPr>
      <xdr:spPr bwMode="auto">
        <a:xfrm flipH="1">
          <a:off x="2752725" y="28298775"/>
          <a:ext cx="1533525" cy="333375"/>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xdr:col>
      <xdr:colOff>352426</xdr:colOff>
      <xdr:row>178</xdr:row>
      <xdr:rowOff>104774</xdr:rowOff>
    </xdr:from>
    <xdr:to>
      <xdr:col>4</xdr:col>
      <xdr:colOff>447675</xdr:colOff>
      <xdr:row>193</xdr:row>
      <xdr:rowOff>47625</xdr:rowOff>
    </xdr:to>
    <xdr:sp macro="" textlink="">
      <xdr:nvSpPr>
        <xdr:cNvPr id="166" name="Textfeld 165">
          <a:extLst>
            <a:ext uri="{FF2B5EF4-FFF2-40B4-BE49-F238E27FC236}">
              <a16:creationId xmlns:a16="http://schemas.microsoft.com/office/drawing/2014/main" id="{00000000-0008-0000-0300-0000A6000000}"/>
            </a:ext>
          </a:extLst>
        </xdr:cNvPr>
        <xdr:cNvSpPr txBox="1"/>
      </xdr:nvSpPr>
      <xdr:spPr>
        <a:xfrm>
          <a:off x="647701" y="33051749"/>
          <a:ext cx="2381249" cy="2657476"/>
        </a:xfrm>
        <a:prstGeom prst="rect">
          <a:avLst/>
        </a:prstGeom>
        <a:ln>
          <a:gradFill flip="none" rotWithShape="1">
            <a:gsLst>
              <a:gs pos="0">
                <a:srgbClr val="00BECE"/>
              </a:gs>
              <a:gs pos="100000">
                <a:srgbClr val="6FCC0D"/>
              </a:gs>
            </a:gsLst>
            <a:lin ang="0" scaled="1"/>
            <a:tileRect/>
          </a:grad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marL="0" marR="0" indent="0" algn="l" defTabSz="914400" eaLnBrk="1" fontAlgn="auto" latinLnBrk="0" hangingPunct="1">
            <a:lnSpc>
              <a:spcPts val="1700"/>
            </a:lnSpc>
            <a:spcBef>
              <a:spcPts val="1200"/>
            </a:spcBef>
            <a:spcAft>
              <a:spcPts val="0"/>
            </a:spcAft>
            <a:buClrTx/>
            <a:buSzTx/>
            <a:buFontTx/>
            <a:buNone/>
            <a:tabLst/>
            <a:defRPr/>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unrealistischen Werteingaben </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(z.B. Kommaverschiebung, Vertippen) erfolgt eine Fehlermeldung, die Sie zu einer Wert-Überprüfung auffordert. </a:t>
          </a:r>
        </a:p>
        <a:p>
          <a:pPr marL="0" marR="0" indent="0" algn="l" defTabSz="914400" eaLnBrk="1" fontAlgn="auto" latinLnBrk="0" hangingPunct="1">
            <a:lnSpc>
              <a:spcPts val="1700"/>
            </a:lnSpc>
            <a:spcBef>
              <a:spcPts val="600"/>
            </a:spcBef>
            <a:spcAft>
              <a:spcPts val="0"/>
            </a:spcAft>
            <a:buClrTx/>
            <a:buSzTx/>
            <a:buFontTx/>
            <a:buNone/>
            <a:tabLst/>
            <a:defRPr/>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Ist der „falsche“ Wert für Sie dennoch korrekt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bestätigen</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Sie diesen mittels Klick auf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Ja</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a:t>
          </a:r>
          <a:r>
            <a:rPr kumimoji="0" lang="de-DE" sz="1050" b="0" i="1"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Im Beispiel erreichte eine Schülerin einen weit überdurchschnittlichen Wert im Einbeinstand von 69 sec.</a:t>
          </a:r>
        </a:p>
        <a:p>
          <a:pPr algn="l">
            <a:lnSpc>
              <a:spcPts val="17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7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5</xdr:col>
      <xdr:colOff>85725</xdr:colOff>
      <xdr:row>150</xdr:row>
      <xdr:rowOff>9525</xdr:rowOff>
    </xdr:from>
    <xdr:to>
      <xdr:col>6</xdr:col>
      <xdr:colOff>180976</xdr:colOff>
      <xdr:row>155</xdr:row>
      <xdr:rowOff>161926</xdr:rowOff>
    </xdr:to>
    <xdr:cxnSp macro="">
      <xdr:nvCxnSpPr>
        <xdr:cNvPr id="167" name="Gerade Verbindung mit Pfeil 166">
          <a:extLst>
            <a:ext uri="{FF2B5EF4-FFF2-40B4-BE49-F238E27FC236}">
              <a16:creationId xmlns:a16="http://schemas.microsoft.com/office/drawing/2014/main" id="{00000000-0008-0000-0300-0000A7000000}"/>
            </a:ext>
          </a:extLst>
        </xdr:cNvPr>
        <xdr:cNvCxnSpPr/>
      </xdr:nvCxnSpPr>
      <xdr:spPr>
        <a:xfrm flipH="1" flipV="1">
          <a:off x="3429000" y="27841575"/>
          <a:ext cx="857251" cy="1057276"/>
        </a:xfrm>
        <a:prstGeom prst="straightConnector1">
          <a:avLst/>
        </a:prstGeom>
        <a:ln w="19050">
          <a:solidFill>
            <a:srgbClr val="C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xdr:colOff>
      <xdr:row>202</xdr:row>
      <xdr:rowOff>28576</xdr:rowOff>
    </xdr:from>
    <xdr:to>
      <xdr:col>9</xdr:col>
      <xdr:colOff>542925</xdr:colOff>
      <xdr:row>210</xdr:row>
      <xdr:rowOff>9526</xdr:rowOff>
    </xdr:to>
    <xdr:sp macro="" textlink="">
      <xdr:nvSpPr>
        <xdr:cNvPr id="171" name="Textfeld 170">
          <a:extLst>
            <a:ext uri="{FF2B5EF4-FFF2-40B4-BE49-F238E27FC236}">
              <a16:creationId xmlns:a16="http://schemas.microsoft.com/office/drawing/2014/main" id="{00000000-0008-0000-0300-0000AB000000}"/>
            </a:ext>
          </a:extLst>
        </xdr:cNvPr>
        <xdr:cNvSpPr txBox="1"/>
      </xdr:nvSpPr>
      <xdr:spPr>
        <a:xfrm>
          <a:off x="4867276" y="38481001"/>
          <a:ext cx="2066924" cy="1504950"/>
        </a:xfrm>
        <a:prstGeom prst="rect">
          <a:avLst/>
        </a:prstGeom>
        <a:ln>
          <a:gradFill flip="none" rotWithShape="1">
            <a:gsLst>
              <a:gs pos="0">
                <a:srgbClr val="00BECE"/>
              </a:gs>
              <a:gs pos="100000">
                <a:srgbClr val="6FCC0D"/>
              </a:gs>
            </a:gsLst>
            <a:lin ang="0" scaled="1"/>
            <a:tileRect/>
          </a:grad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3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Unter Anmerkungen geben Sie bitte Beeinträchtigungen der Schüler/innen, die nicht bereits unter Inklusion erfasst werden, oder andere Besonderheiten (z.B. Sturz beim Sternlauf) an.</a:t>
          </a:r>
        </a:p>
      </xdr:txBody>
    </xdr:sp>
    <xdr:clientData/>
  </xdr:twoCellAnchor>
  <xdr:twoCellAnchor>
    <xdr:from>
      <xdr:col>1</xdr:col>
      <xdr:colOff>323852</xdr:colOff>
      <xdr:row>193</xdr:row>
      <xdr:rowOff>114301</xdr:rowOff>
    </xdr:from>
    <xdr:to>
      <xdr:col>4</xdr:col>
      <xdr:colOff>390526</xdr:colOff>
      <xdr:row>199</xdr:row>
      <xdr:rowOff>180975</xdr:rowOff>
    </xdr:to>
    <xdr:sp macro="" textlink="">
      <xdr:nvSpPr>
        <xdr:cNvPr id="110" name="Textfeld 109">
          <a:extLst>
            <a:ext uri="{FF2B5EF4-FFF2-40B4-BE49-F238E27FC236}">
              <a16:creationId xmlns:a16="http://schemas.microsoft.com/office/drawing/2014/main" id="{00000000-0008-0000-0300-00006E000000}"/>
            </a:ext>
          </a:extLst>
        </xdr:cNvPr>
        <xdr:cNvSpPr txBox="1"/>
      </xdr:nvSpPr>
      <xdr:spPr>
        <a:xfrm>
          <a:off x="638177" y="41281351"/>
          <a:ext cx="2352674" cy="1209674"/>
        </a:xfrm>
        <a:prstGeom prst="rect">
          <a:avLst/>
        </a:prstGeom>
        <a:ln>
          <a:gradFill flip="none" rotWithShape="1">
            <a:gsLst>
              <a:gs pos="0">
                <a:srgbClr val="00BECE"/>
              </a:gs>
              <a:gs pos="100000">
                <a:srgbClr val="6FCC0D"/>
              </a:gs>
            </a:gsLst>
            <a:lin ang="0" scaled="1"/>
            <a:tileRect/>
          </a:grad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4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der Fehlermeldung ist "Nein" voreingestellt. Wenn Sie "Nein" bestätigen landet der Cursor wieder in der Zelle, so dass Sie den Wert direkt korrigieren können.</a:t>
          </a:r>
        </a:p>
        <a:p>
          <a:pPr algn="l">
            <a:lnSpc>
              <a:spcPts val="14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3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4</xdr:col>
      <xdr:colOff>600077</xdr:colOff>
      <xdr:row>188</xdr:row>
      <xdr:rowOff>85727</xdr:rowOff>
    </xdr:from>
    <xdr:to>
      <xdr:col>9</xdr:col>
      <xdr:colOff>638175</xdr:colOff>
      <xdr:row>191</xdr:row>
      <xdr:rowOff>152400</xdr:rowOff>
    </xdr:to>
    <xdr:sp macro="" textlink="">
      <xdr:nvSpPr>
        <xdr:cNvPr id="121" name="Textfeld 120">
          <a:extLst>
            <a:ext uri="{FF2B5EF4-FFF2-40B4-BE49-F238E27FC236}">
              <a16:creationId xmlns:a16="http://schemas.microsoft.com/office/drawing/2014/main" id="{00000000-0008-0000-0300-000079000000}"/>
            </a:ext>
          </a:extLst>
        </xdr:cNvPr>
        <xdr:cNvSpPr txBox="1"/>
      </xdr:nvSpPr>
      <xdr:spPr>
        <a:xfrm>
          <a:off x="3181352" y="34842452"/>
          <a:ext cx="3848098" cy="609598"/>
        </a:xfrm>
        <a:prstGeom prst="rect">
          <a:avLst/>
        </a:prstGeom>
        <a:ln>
          <a:gradFill flip="none" rotWithShape="1">
            <a:gsLst>
              <a:gs pos="0">
                <a:srgbClr val="00BECE"/>
              </a:gs>
              <a:gs pos="100000">
                <a:srgbClr val="6FCC0D"/>
              </a:gs>
            </a:gsLst>
            <a:lin ang="0" scaled="1"/>
            <a:tileRect/>
          </a:grad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marL="0" marR="0" indent="0" algn="l" defTabSz="914400" eaLnBrk="1" fontAlgn="auto" latinLnBrk="0" hangingPunct="1">
            <a:lnSpc>
              <a:spcPts val="1400"/>
            </a:lnSpc>
            <a:spcBef>
              <a:spcPts val="600"/>
            </a:spcBef>
            <a:spcAft>
              <a:spcPts val="0"/>
            </a:spcAft>
            <a:buClrTx/>
            <a:buSzTx/>
            <a:buFontTx/>
            <a:buNone/>
            <a:tabLst/>
            <a:defRPr/>
          </a:pPr>
          <a:r>
            <a:rPr lang="de-DE" sz="1050" b="0" i="0" baseline="0">
              <a:solidFill>
                <a:schemeClr val="dk1"/>
              </a:solidFill>
              <a:effectLst/>
              <a:latin typeface="Arial" panose="020B0604020202020204" pitchFamily="34" charset="0"/>
              <a:ea typeface="+mn-ea"/>
              <a:cs typeface="Arial" panose="020B0604020202020204" pitchFamily="34" charset="0"/>
            </a:rPr>
            <a:t>Zur Erleichterung der Datenauswertung wird der  von Ihnen bestätigte "unrealistische Wert" dann </a:t>
          </a:r>
          <a:r>
            <a:rPr lang="de-DE" sz="1050" b="1" i="0" baseline="0">
              <a:solidFill>
                <a:schemeClr val="dk1"/>
              </a:solidFill>
              <a:effectLst/>
              <a:latin typeface="Arial" panose="020B0604020202020204" pitchFamily="34" charset="0"/>
              <a:ea typeface="+mn-ea"/>
              <a:cs typeface="Arial" panose="020B0604020202020204" pitchFamily="34" charset="0"/>
            </a:rPr>
            <a:t>orange</a:t>
          </a:r>
          <a:r>
            <a:rPr lang="de-DE" sz="1050" b="0" i="0" baseline="0">
              <a:solidFill>
                <a:schemeClr val="dk1"/>
              </a:solidFill>
              <a:effectLst/>
              <a:latin typeface="Arial" panose="020B0604020202020204" pitchFamily="34" charset="0"/>
              <a:ea typeface="+mn-ea"/>
              <a:cs typeface="Arial" panose="020B0604020202020204" pitchFamily="34" charset="0"/>
            </a:rPr>
            <a:t> hinterlegt. </a:t>
          </a: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4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1</xdr:col>
      <xdr:colOff>0</xdr:colOff>
      <xdr:row>139</xdr:row>
      <xdr:rowOff>104775</xdr:rowOff>
    </xdr:from>
    <xdr:to>
      <xdr:col>4</xdr:col>
      <xdr:colOff>307335</xdr:colOff>
      <xdr:row>141</xdr:row>
      <xdr:rowOff>142875</xdr:rowOff>
    </xdr:to>
    <xdr:sp macro="" textlink="">
      <xdr:nvSpPr>
        <xdr:cNvPr id="165" name="Textfeld 164">
          <a:extLst>
            <a:ext uri="{FF2B5EF4-FFF2-40B4-BE49-F238E27FC236}">
              <a16:creationId xmlns:a16="http://schemas.microsoft.com/office/drawing/2014/main" id="{00000000-0008-0000-0300-0000A5000000}"/>
            </a:ext>
          </a:extLst>
        </xdr:cNvPr>
        <xdr:cNvSpPr txBox="1"/>
      </xdr:nvSpPr>
      <xdr:spPr>
        <a:xfrm>
          <a:off x="314325" y="30994350"/>
          <a:ext cx="259333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DE" sz="1600" b="1">
              <a:latin typeface="Arial" panose="020B0604020202020204" pitchFamily="34" charset="0"/>
              <a:cs typeface="Arial" panose="020B0604020202020204" pitchFamily="34" charset="0"/>
            </a:rPr>
            <a:t>(3) TEST-DATEN</a:t>
          </a:r>
        </a:p>
        <a:p>
          <a:endParaRPr lang="de-DE" sz="1600" b="1">
            <a:latin typeface="Arial" panose="020B0604020202020204" pitchFamily="34" charset="0"/>
            <a:cs typeface="Arial" panose="020B0604020202020204" pitchFamily="34" charset="0"/>
          </a:endParaRPr>
        </a:p>
      </xdr:txBody>
    </xdr:sp>
    <xdr:clientData/>
  </xdr:twoCellAnchor>
  <xdr:twoCellAnchor>
    <xdr:from>
      <xdr:col>7</xdr:col>
      <xdr:colOff>733428</xdr:colOff>
      <xdr:row>121</xdr:row>
      <xdr:rowOff>133351</xdr:rowOff>
    </xdr:from>
    <xdr:to>
      <xdr:col>9</xdr:col>
      <xdr:colOff>485775</xdr:colOff>
      <xdr:row>130</xdr:row>
      <xdr:rowOff>114300</xdr:rowOff>
    </xdr:to>
    <xdr:cxnSp macro="">
      <xdr:nvCxnSpPr>
        <xdr:cNvPr id="153" name="Gewinkelte Verbindung 152">
          <a:extLst>
            <a:ext uri="{FF2B5EF4-FFF2-40B4-BE49-F238E27FC236}">
              <a16:creationId xmlns:a16="http://schemas.microsoft.com/office/drawing/2014/main" id="{00000000-0008-0000-0300-000099000000}"/>
            </a:ext>
          </a:extLst>
        </xdr:cNvPr>
        <xdr:cNvCxnSpPr/>
      </xdr:nvCxnSpPr>
      <xdr:spPr>
        <a:xfrm rot="16200000" flipV="1">
          <a:off x="5434015" y="22807614"/>
          <a:ext cx="1609724" cy="1276347"/>
        </a:xfrm>
        <a:prstGeom prst="bentConnector3">
          <a:avLst>
            <a:gd name="adj1" fmla="val 50000"/>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714376</xdr:colOff>
      <xdr:row>77</xdr:row>
      <xdr:rowOff>28575</xdr:rowOff>
    </xdr:from>
    <xdr:to>
      <xdr:col>12</xdr:col>
      <xdr:colOff>190500</xdr:colOff>
      <xdr:row>84</xdr:row>
      <xdr:rowOff>0</xdr:rowOff>
    </xdr:to>
    <xdr:sp macro="" textlink="">
      <xdr:nvSpPr>
        <xdr:cNvPr id="118" name="Textfeld 117">
          <a:extLst>
            <a:ext uri="{FF2B5EF4-FFF2-40B4-BE49-F238E27FC236}">
              <a16:creationId xmlns:a16="http://schemas.microsoft.com/office/drawing/2014/main" id="{00000000-0008-0000-0300-000076000000}"/>
            </a:ext>
          </a:extLst>
        </xdr:cNvPr>
        <xdr:cNvSpPr txBox="1"/>
      </xdr:nvSpPr>
      <xdr:spPr>
        <a:xfrm>
          <a:off x="1009651" y="14554200"/>
          <a:ext cx="7858124" cy="1238250"/>
        </a:xfrm>
        <a:prstGeom prst="rect">
          <a:avLst/>
        </a:prstGeom>
        <a:solidFill>
          <a:schemeClr val="accent2">
            <a:lumMod val="40000"/>
            <a:lumOff val="60000"/>
          </a:schemeClr>
        </a:solidFill>
        <a:ln w="19050" cmpd="sng">
          <a:solidFill>
            <a:schemeClr val="tx1"/>
          </a:solidFill>
        </a:ln>
        <a:effectLst>
          <a:softEdge rad="0"/>
        </a:effectLst>
      </xdr:spPr>
      <xdr:txBody>
        <a:bodyPr vertOverflow="clip" wrap="square" rtlCol="0" anchor="ctr"/>
        <a:lstStyle/>
        <a:p>
          <a:pPr marL="0" marR="0" lvl="0" indent="0" algn="l" defTabSz="914400" eaLnBrk="1" fontAlgn="auto" latinLnBrk="0" hangingPunct="1">
            <a:lnSpc>
              <a:spcPts val="1400"/>
            </a:lnSpc>
            <a:spcBef>
              <a:spcPts val="600"/>
            </a:spcBef>
            <a:spcAft>
              <a:spcPts val="0"/>
            </a:spcAft>
            <a:buClrTx/>
            <a:buSzTx/>
            <a:buFontTx/>
            <a:buNone/>
            <a:tabLst/>
            <a:defRPr/>
          </a:pPr>
          <a:r>
            <a:rPr kumimoji="0" lang="de-DE" sz="11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Hinweis: </a:t>
          </a:r>
          <a:r>
            <a:rPr kumimoji="0" lang="de-DE" sz="11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Aufgrund der Benutzerfreundlichkeit der Datenmaske, besteht bei der Angabe des Geburtsdatums die Möglichkeit, aus einer vorhandenen Datei, wie z. B. den schulbezogenen Klassenlisten, das Geburtsdatum der Schülerinnen und Schüler direkt in die Tabelle hineinzukopieren (gleichfalls für Code und Geschlecht). Sie können aber auch, wie gehabt, manuell jeweils nur den Geburtsmonat und das Geburtsjahr eingeben. Es muss nur eine Eingabe erfolgen (d.h. Option 1 oder 2).</a:t>
          </a:r>
        </a:p>
      </xdr:txBody>
    </xdr:sp>
    <xdr:clientData/>
  </xdr:twoCellAnchor>
  <xdr:twoCellAnchor>
    <xdr:from>
      <xdr:col>4</xdr:col>
      <xdr:colOff>57151</xdr:colOff>
      <xdr:row>74</xdr:row>
      <xdr:rowOff>28569</xdr:rowOff>
    </xdr:from>
    <xdr:to>
      <xdr:col>7</xdr:col>
      <xdr:colOff>57151</xdr:colOff>
      <xdr:row>76</xdr:row>
      <xdr:rowOff>161916</xdr:rowOff>
    </xdr:to>
    <xdr:sp macro="" textlink="">
      <xdr:nvSpPr>
        <xdr:cNvPr id="14" name="Geschweifte Klammer links 13">
          <a:extLst>
            <a:ext uri="{FF2B5EF4-FFF2-40B4-BE49-F238E27FC236}">
              <a16:creationId xmlns:a16="http://schemas.microsoft.com/office/drawing/2014/main" id="{00000000-0008-0000-0300-00000E000000}"/>
            </a:ext>
          </a:extLst>
        </xdr:cNvPr>
        <xdr:cNvSpPr/>
      </xdr:nvSpPr>
      <xdr:spPr>
        <a:xfrm rot="16200000">
          <a:off x="3533777" y="13087343"/>
          <a:ext cx="495297" cy="2286000"/>
        </a:xfrm>
        <a:prstGeom prst="leftBrace">
          <a:avLst/>
        </a:prstGeom>
        <a:noFill/>
        <a:ln w="190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de-DE"/>
        </a:p>
      </xdr:txBody>
    </xdr:sp>
    <xdr:clientData/>
  </xdr:twoCellAnchor>
  <xdr:twoCellAnchor>
    <xdr:from>
      <xdr:col>5</xdr:col>
      <xdr:colOff>695325</xdr:colOff>
      <xdr:row>31</xdr:row>
      <xdr:rowOff>142875</xdr:rowOff>
    </xdr:from>
    <xdr:to>
      <xdr:col>6</xdr:col>
      <xdr:colOff>438150</xdr:colOff>
      <xdr:row>31</xdr:row>
      <xdr:rowOff>142875</xdr:rowOff>
    </xdr:to>
    <xdr:cxnSp macro="">
      <xdr:nvCxnSpPr>
        <xdr:cNvPr id="4168" name="Gerade Verbindung mit Pfeil 137">
          <a:extLst>
            <a:ext uri="{FF2B5EF4-FFF2-40B4-BE49-F238E27FC236}">
              <a16:creationId xmlns:a16="http://schemas.microsoft.com/office/drawing/2014/main" id="{00000000-0008-0000-0300-000048100000}"/>
            </a:ext>
          </a:extLst>
        </xdr:cNvPr>
        <xdr:cNvCxnSpPr>
          <a:cxnSpLocks noChangeShapeType="1"/>
        </xdr:cNvCxnSpPr>
      </xdr:nvCxnSpPr>
      <xdr:spPr bwMode="auto">
        <a:xfrm flipV="1">
          <a:off x="4038600" y="6276975"/>
          <a:ext cx="504825" cy="0"/>
        </a:xfrm>
        <a:prstGeom prst="straightConnector1">
          <a:avLst/>
        </a:prstGeom>
        <a:noFill/>
        <a:ln w="19050"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xdr:col>
      <xdr:colOff>326572</xdr:colOff>
      <xdr:row>160</xdr:row>
      <xdr:rowOff>2</xdr:rowOff>
    </xdr:from>
    <xdr:to>
      <xdr:col>7</xdr:col>
      <xdr:colOff>735524</xdr:colOff>
      <xdr:row>175</xdr:row>
      <xdr:rowOff>74015</xdr:rowOff>
    </xdr:to>
    <xdr:pic>
      <xdr:nvPicPr>
        <xdr:cNvPr id="2" name="Grafik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7"/>
        <a:stretch>
          <a:fillRect/>
        </a:stretch>
      </xdr:blipFill>
      <xdr:spPr>
        <a:xfrm>
          <a:off x="625929" y="29119288"/>
          <a:ext cx="4980952" cy="2771429"/>
        </a:xfrm>
        <a:prstGeom prst="rect">
          <a:avLst/>
        </a:prstGeom>
      </xdr:spPr>
    </xdr:pic>
    <xdr:clientData/>
  </xdr:twoCellAnchor>
  <xdr:twoCellAnchor>
    <xdr:from>
      <xdr:col>3</xdr:col>
      <xdr:colOff>161925</xdr:colOff>
      <xdr:row>174</xdr:row>
      <xdr:rowOff>133350</xdr:rowOff>
    </xdr:from>
    <xdr:to>
      <xdr:col>4</xdr:col>
      <xdr:colOff>76200</xdr:colOff>
      <xdr:row>178</xdr:row>
      <xdr:rowOff>152401</xdr:rowOff>
    </xdr:to>
    <xdr:cxnSp macro="">
      <xdr:nvCxnSpPr>
        <xdr:cNvPr id="107" name="Gerade Verbindung mit Pfeil 106">
          <a:extLst>
            <a:ext uri="{FF2B5EF4-FFF2-40B4-BE49-F238E27FC236}">
              <a16:creationId xmlns:a16="http://schemas.microsoft.com/office/drawing/2014/main" id="{00000000-0008-0000-0300-00006B000000}"/>
            </a:ext>
          </a:extLst>
        </xdr:cNvPr>
        <xdr:cNvCxnSpPr/>
      </xdr:nvCxnSpPr>
      <xdr:spPr>
        <a:xfrm flipV="1">
          <a:off x="1981200" y="32337375"/>
          <a:ext cx="676275" cy="762001"/>
        </a:xfrm>
        <a:prstGeom prst="straightConnector1">
          <a:avLst/>
        </a:prstGeom>
        <a:ln w="19050">
          <a:solidFill>
            <a:schemeClr val="tx1"/>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5</xdr:col>
      <xdr:colOff>503464</xdr:colOff>
      <xdr:row>177</xdr:row>
      <xdr:rowOff>122465</xdr:rowOff>
    </xdr:from>
    <xdr:to>
      <xdr:col>8</xdr:col>
      <xdr:colOff>646035</xdr:colOff>
      <xdr:row>186</xdr:row>
      <xdr:rowOff>113946</xdr:rowOff>
    </xdr:to>
    <xdr:pic>
      <xdr:nvPicPr>
        <xdr:cNvPr id="4" name="Grafik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8"/>
        <a:stretch>
          <a:fillRect/>
        </a:stretch>
      </xdr:blipFill>
      <xdr:spPr>
        <a:xfrm>
          <a:off x="3850821" y="32316965"/>
          <a:ext cx="2428571" cy="1561905"/>
        </a:xfrm>
        <a:prstGeom prst="rect">
          <a:avLst/>
        </a:prstGeom>
      </xdr:spPr>
    </xdr:pic>
    <xdr:clientData/>
  </xdr:twoCellAnchor>
  <xdr:twoCellAnchor>
    <xdr:from>
      <xdr:col>6</xdr:col>
      <xdr:colOff>533400</xdr:colOff>
      <xdr:row>186</xdr:row>
      <xdr:rowOff>47625</xdr:rowOff>
    </xdr:from>
    <xdr:to>
      <xdr:col>7</xdr:col>
      <xdr:colOff>419100</xdr:colOff>
      <xdr:row>188</xdr:row>
      <xdr:rowOff>104775</xdr:rowOff>
    </xdr:to>
    <xdr:cxnSp macro="">
      <xdr:nvCxnSpPr>
        <xdr:cNvPr id="125" name="Gerade Verbindung mit Pfeil 124">
          <a:extLst>
            <a:ext uri="{FF2B5EF4-FFF2-40B4-BE49-F238E27FC236}">
              <a16:creationId xmlns:a16="http://schemas.microsoft.com/office/drawing/2014/main" id="{00000000-0008-0000-0300-00007D000000}"/>
            </a:ext>
          </a:extLst>
        </xdr:cNvPr>
        <xdr:cNvCxnSpPr/>
      </xdr:nvCxnSpPr>
      <xdr:spPr>
        <a:xfrm flipV="1">
          <a:off x="4657725" y="39881175"/>
          <a:ext cx="647700" cy="438150"/>
        </a:xfrm>
        <a:prstGeom prst="straightConnector1">
          <a:avLst/>
        </a:prstGeom>
        <a:ln w="19050">
          <a:solidFill>
            <a:schemeClr val="tx1"/>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95251</xdr:colOff>
      <xdr:row>167</xdr:row>
      <xdr:rowOff>95249</xdr:rowOff>
    </xdr:from>
    <xdr:to>
      <xdr:col>5</xdr:col>
      <xdr:colOff>685801</xdr:colOff>
      <xdr:row>168</xdr:row>
      <xdr:rowOff>104774</xdr:rowOff>
    </xdr:to>
    <xdr:sp macro="" textlink="">
      <xdr:nvSpPr>
        <xdr:cNvPr id="4154" name="Rectangle 8">
          <a:extLst>
            <a:ext uri="{FF2B5EF4-FFF2-40B4-BE49-F238E27FC236}">
              <a16:creationId xmlns:a16="http://schemas.microsoft.com/office/drawing/2014/main" id="{00000000-0008-0000-0300-00003A100000}"/>
            </a:ext>
          </a:extLst>
        </xdr:cNvPr>
        <xdr:cNvSpPr>
          <a:spLocks noChangeArrowheads="1"/>
        </xdr:cNvSpPr>
      </xdr:nvSpPr>
      <xdr:spPr bwMode="auto">
        <a:xfrm>
          <a:off x="3442608" y="30452785"/>
          <a:ext cx="590550" cy="186418"/>
        </a:xfrm>
        <a:prstGeom prst="rect">
          <a:avLst/>
        </a:prstGeom>
        <a:solidFill>
          <a:srgbClr val="FFFFFF">
            <a:alpha val="0"/>
          </a:srgbClr>
        </a:solidFill>
        <a:ln w="19050">
          <a:solidFill>
            <a:srgbClr val="FF6600"/>
          </a:solidFill>
          <a:miter lim="800000"/>
          <a:headEnd/>
          <a:tailEnd/>
        </a:ln>
      </xdr:spPr>
    </xdr:sp>
    <xdr:clientData/>
  </xdr:twoCellAnchor>
  <xdr:twoCellAnchor editAs="oneCell">
    <xdr:from>
      <xdr:col>5</xdr:col>
      <xdr:colOff>381000</xdr:colOff>
      <xdr:row>192</xdr:row>
      <xdr:rowOff>27215</xdr:rowOff>
    </xdr:from>
    <xdr:to>
      <xdr:col>8</xdr:col>
      <xdr:colOff>504524</xdr:colOff>
      <xdr:row>201</xdr:row>
      <xdr:rowOff>287</xdr:rowOff>
    </xdr:to>
    <xdr:pic>
      <xdr:nvPicPr>
        <xdr:cNvPr id="5" name="Grafik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9"/>
        <a:stretch>
          <a:fillRect/>
        </a:stretch>
      </xdr:blipFill>
      <xdr:spPr>
        <a:xfrm>
          <a:off x="3728357" y="34875108"/>
          <a:ext cx="2409524" cy="1561905"/>
        </a:xfrm>
        <a:prstGeom prst="rect">
          <a:avLst/>
        </a:prstGeom>
      </xdr:spPr>
    </xdr:pic>
    <xdr:clientData/>
  </xdr:twoCellAnchor>
  <xdr:twoCellAnchor>
    <xdr:from>
      <xdr:col>4</xdr:col>
      <xdr:colOff>390526</xdr:colOff>
      <xdr:row>196</xdr:row>
      <xdr:rowOff>154442</xdr:rowOff>
    </xdr:from>
    <xdr:to>
      <xdr:col>7</xdr:col>
      <xdr:colOff>163286</xdr:colOff>
      <xdr:row>199</xdr:row>
      <xdr:rowOff>136071</xdr:rowOff>
    </xdr:to>
    <xdr:cxnSp macro="">
      <xdr:nvCxnSpPr>
        <xdr:cNvPr id="4176" name="Gerade Verbindung mit Pfeil 136">
          <a:extLst>
            <a:ext uri="{FF2B5EF4-FFF2-40B4-BE49-F238E27FC236}">
              <a16:creationId xmlns:a16="http://schemas.microsoft.com/office/drawing/2014/main" id="{00000000-0008-0000-0300-000050100000}"/>
            </a:ext>
          </a:extLst>
        </xdr:cNvPr>
        <xdr:cNvCxnSpPr>
          <a:cxnSpLocks noChangeShapeType="1"/>
          <a:stCxn id="110" idx="3"/>
        </xdr:cNvCxnSpPr>
      </xdr:nvCxnSpPr>
      <xdr:spPr bwMode="auto">
        <a:xfrm>
          <a:off x="2975883" y="35709906"/>
          <a:ext cx="2058760" cy="525915"/>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editAs="oneCell">
    <xdr:from>
      <xdr:col>1</xdr:col>
      <xdr:colOff>285750</xdr:colOff>
      <xdr:row>201</xdr:row>
      <xdr:rowOff>176892</xdr:rowOff>
    </xdr:from>
    <xdr:to>
      <xdr:col>6</xdr:col>
      <xdr:colOff>475750</xdr:colOff>
      <xdr:row>210</xdr:row>
      <xdr:rowOff>47602</xdr:rowOff>
    </xdr:to>
    <xdr:pic>
      <xdr:nvPicPr>
        <xdr:cNvPr id="8" name="Grafik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0"/>
        <a:stretch>
          <a:fillRect/>
        </a:stretch>
      </xdr:blipFill>
      <xdr:spPr>
        <a:xfrm>
          <a:off x="585107" y="36630428"/>
          <a:ext cx="4000000" cy="1457143"/>
        </a:xfrm>
        <a:prstGeom prst="rect">
          <a:avLst/>
        </a:prstGeom>
      </xdr:spPr>
    </xdr:pic>
    <xdr:clientData/>
  </xdr:twoCellAnchor>
  <xdr:twoCellAnchor>
    <xdr:from>
      <xdr:col>6</xdr:col>
      <xdr:colOff>95250</xdr:colOff>
      <xdr:row>203</xdr:row>
      <xdr:rowOff>47625</xdr:rowOff>
    </xdr:from>
    <xdr:to>
      <xdr:col>6</xdr:col>
      <xdr:colOff>733425</xdr:colOff>
      <xdr:row>204</xdr:row>
      <xdr:rowOff>85725</xdr:rowOff>
    </xdr:to>
    <xdr:cxnSp macro="">
      <xdr:nvCxnSpPr>
        <xdr:cNvPr id="4158" name="Gerade Verbindung mit Pfeil 139">
          <a:extLst>
            <a:ext uri="{FF2B5EF4-FFF2-40B4-BE49-F238E27FC236}">
              <a16:creationId xmlns:a16="http://schemas.microsoft.com/office/drawing/2014/main" id="{00000000-0008-0000-0300-00003E100000}"/>
            </a:ext>
          </a:extLst>
        </xdr:cNvPr>
        <xdr:cNvCxnSpPr>
          <a:cxnSpLocks noChangeShapeType="1"/>
        </xdr:cNvCxnSpPr>
      </xdr:nvCxnSpPr>
      <xdr:spPr bwMode="auto">
        <a:xfrm flipH="1" flipV="1">
          <a:off x="4200525" y="37538025"/>
          <a:ext cx="638175" cy="219075"/>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xdr:col>
      <xdr:colOff>40006</xdr:colOff>
      <xdr:row>6</xdr:row>
      <xdr:rowOff>247650</xdr:rowOff>
    </xdr:from>
    <xdr:to>
      <xdr:col>3</xdr:col>
      <xdr:colOff>400050</xdr:colOff>
      <xdr:row>6</xdr:row>
      <xdr:rowOff>247650</xdr:rowOff>
    </xdr:to>
    <xdr:cxnSp macro="">
      <xdr:nvCxnSpPr>
        <xdr:cNvPr id="95" name="Gerade Verbindung 99">
          <a:extLst>
            <a:ext uri="{FF2B5EF4-FFF2-40B4-BE49-F238E27FC236}">
              <a16:creationId xmlns:a16="http://schemas.microsoft.com/office/drawing/2014/main" id="{76A7E915-492F-4FDA-AA2E-8451758292B3}"/>
            </a:ext>
          </a:extLst>
        </xdr:cNvPr>
        <xdr:cNvCxnSpPr/>
      </xdr:nvCxnSpPr>
      <xdr:spPr>
        <a:xfrm flipH="1">
          <a:off x="335281" y="1685925"/>
          <a:ext cx="1884044" cy="0"/>
        </a:xfrm>
        <a:prstGeom prst="line">
          <a:avLst/>
        </a:prstGeom>
        <a:ln w="12700">
          <a:gradFill flip="none" rotWithShape="1">
            <a:gsLst>
              <a:gs pos="0">
                <a:srgbClr val="00BECE"/>
              </a:gs>
              <a:gs pos="100000">
                <a:srgbClr val="6FCC0D"/>
              </a:gs>
            </a:gsLst>
            <a:lin ang="10800000" scaled="1"/>
            <a:tileRect/>
          </a:gradFill>
          <a:headEnd type="oval"/>
          <a:tailEnd type="oval"/>
        </a:ln>
        <a:effectLst/>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6</xdr:col>
      <xdr:colOff>352425</xdr:colOff>
      <xdr:row>18</xdr:row>
      <xdr:rowOff>142875</xdr:rowOff>
    </xdr:from>
    <xdr:to>
      <xdr:col>9</xdr:col>
      <xdr:colOff>494996</xdr:colOff>
      <xdr:row>21</xdr:row>
      <xdr:rowOff>85661</xdr:rowOff>
    </xdr:to>
    <xdr:pic>
      <xdr:nvPicPr>
        <xdr:cNvPr id="11" name="Grafik 10">
          <a:extLst>
            <a:ext uri="{FF2B5EF4-FFF2-40B4-BE49-F238E27FC236}">
              <a16:creationId xmlns:a16="http://schemas.microsoft.com/office/drawing/2014/main" id="{02E8CFB6-2833-47C8-856B-8B4A954C46DE}"/>
            </a:ext>
          </a:extLst>
        </xdr:cNvPr>
        <xdr:cNvPicPr>
          <a:picLocks noChangeAspect="1"/>
        </xdr:cNvPicPr>
      </xdr:nvPicPr>
      <xdr:blipFill>
        <a:blip xmlns:r="http://schemas.openxmlformats.org/officeDocument/2006/relationships" r:embed="rId11"/>
        <a:stretch>
          <a:fillRect/>
        </a:stretch>
      </xdr:blipFill>
      <xdr:spPr>
        <a:xfrm>
          <a:off x="4457700" y="3876675"/>
          <a:ext cx="2428571" cy="514286"/>
        </a:xfrm>
        <a:prstGeom prst="rect">
          <a:avLst/>
        </a:prstGeom>
      </xdr:spPr>
    </xdr:pic>
    <xdr:clientData/>
  </xdr:twoCellAnchor>
  <xdr:oneCellAnchor>
    <xdr:from>
      <xdr:col>7</xdr:col>
      <xdr:colOff>600075</xdr:colOff>
      <xdr:row>22</xdr:row>
      <xdr:rowOff>180975</xdr:rowOff>
    </xdr:from>
    <xdr:ext cx="1188210" cy="254557"/>
    <xdr:sp macro="" textlink="">
      <xdr:nvSpPr>
        <xdr:cNvPr id="16" name="Textfeld 15">
          <a:extLst>
            <a:ext uri="{FF2B5EF4-FFF2-40B4-BE49-F238E27FC236}">
              <a16:creationId xmlns:a16="http://schemas.microsoft.com/office/drawing/2014/main" id="{B0AEE106-628F-4BE6-9584-0EEF75286609}"/>
            </a:ext>
          </a:extLst>
        </xdr:cNvPr>
        <xdr:cNvSpPr txBox="1"/>
      </xdr:nvSpPr>
      <xdr:spPr>
        <a:xfrm>
          <a:off x="5467350" y="4676775"/>
          <a:ext cx="118821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100" b="1" u="sng">
              <a:latin typeface="Arial" panose="020B0604020202020204" pitchFamily="34" charset="0"/>
              <a:cs typeface="Arial" panose="020B0604020202020204" pitchFamily="34" charset="0"/>
            </a:rPr>
            <a:t>Tabellenblätter</a:t>
          </a:r>
        </a:p>
      </xdr:txBody>
    </xdr:sp>
    <xdr:clientData/>
  </xdr:oneCellAnchor>
  <xdr:twoCellAnchor>
    <xdr:from>
      <xdr:col>7</xdr:col>
      <xdr:colOff>638175</xdr:colOff>
      <xdr:row>24</xdr:row>
      <xdr:rowOff>64057</xdr:rowOff>
    </xdr:from>
    <xdr:to>
      <xdr:col>8</xdr:col>
      <xdr:colOff>432180</xdr:colOff>
      <xdr:row>27</xdr:row>
      <xdr:rowOff>142875</xdr:rowOff>
    </xdr:to>
    <xdr:cxnSp macro="">
      <xdr:nvCxnSpPr>
        <xdr:cNvPr id="50" name="Gerade Verbindung mit Pfeil 49">
          <a:extLst>
            <a:ext uri="{FF2B5EF4-FFF2-40B4-BE49-F238E27FC236}">
              <a16:creationId xmlns:a16="http://schemas.microsoft.com/office/drawing/2014/main" id="{E8A0C8D2-B30C-4567-B043-69008D53D03A}"/>
            </a:ext>
          </a:extLst>
        </xdr:cNvPr>
        <xdr:cNvCxnSpPr>
          <a:stCxn id="16" idx="2"/>
        </xdr:cNvCxnSpPr>
      </xdr:nvCxnSpPr>
      <xdr:spPr>
        <a:xfrm flipH="1">
          <a:off x="5505450" y="4931332"/>
          <a:ext cx="556005" cy="621743"/>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723900</xdr:colOff>
      <xdr:row>24</xdr:row>
      <xdr:rowOff>64057</xdr:rowOff>
    </xdr:from>
    <xdr:to>
      <xdr:col>8</xdr:col>
      <xdr:colOff>432180</xdr:colOff>
      <xdr:row>27</xdr:row>
      <xdr:rowOff>152400</xdr:rowOff>
    </xdr:to>
    <xdr:cxnSp macro="">
      <xdr:nvCxnSpPr>
        <xdr:cNvPr id="128" name="Gerade Verbindung mit Pfeil 127">
          <a:extLst>
            <a:ext uri="{FF2B5EF4-FFF2-40B4-BE49-F238E27FC236}">
              <a16:creationId xmlns:a16="http://schemas.microsoft.com/office/drawing/2014/main" id="{792F4C7F-6E2A-4192-B48A-E38EC6C8658B}"/>
            </a:ext>
          </a:extLst>
        </xdr:cNvPr>
        <xdr:cNvCxnSpPr>
          <a:stCxn id="16" idx="2"/>
        </xdr:cNvCxnSpPr>
      </xdr:nvCxnSpPr>
      <xdr:spPr>
        <a:xfrm flipH="1">
          <a:off x="4067175" y="4931332"/>
          <a:ext cx="1994280" cy="631268"/>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432180</xdr:colOff>
      <xdr:row>24</xdr:row>
      <xdr:rowOff>64057</xdr:rowOff>
    </xdr:from>
    <xdr:to>
      <xdr:col>9</xdr:col>
      <xdr:colOff>66675</xdr:colOff>
      <xdr:row>27</xdr:row>
      <xdr:rowOff>142875</xdr:rowOff>
    </xdr:to>
    <xdr:cxnSp macro="">
      <xdr:nvCxnSpPr>
        <xdr:cNvPr id="129" name="Gerade Verbindung mit Pfeil 128">
          <a:extLst>
            <a:ext uri="{FF2B5EF4-FFF2-40B4-BE49-F238E27FC236}">
              <a16:creationId xmlns:a16="http://schemas.microsoft.com/office/drawing/2014/main" id="{FC0721DD-272A-4F17-8741-3D18ABD76B82}"/>
            </a:ext>
          </a:extLst>
        </xdr:cNvPr>
        <xdr:cNvCxnSpPr>
          <a:stCxn id="16" idx="2"/>
        </xdr:cNvCxnSpPr>
      </xdr:nvCxnSpPr>
      <xdr:spPr>
        <a:xfrm>
          <a:off x="6061455" y="4931332"/>
          <a:ext cx="396495" cy="621743"/>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628650</xdr:colOff>
      <xdr:row>24</xdr:row>
      <xdr:rowOff>64057</xdr:rowOff>
    </xdr:from>
    <xdr:to>
      <xdr:col>8</xdr:col>
      <xdr:colOff>432180</xdr:colOff>
      <xdr:row>27</xdr:row>
      <xdr:rowOff>133350</xdr:rowOff>
    </xdr:to>
    <xdr:cxnSp macro="">
      <xdr:nvCxnSpPr>
        <xdr:cNvPr id="131" name="Gerade Verbindung mit Pfeil 130">
          <a:extLst>
            <a:ext uri="{FF2B5EF4-FFF2-40B4-BE49-F238E27FC236}">
              <a16:creationId xmlns:a16="http://schemas.microsoft.com/office/drawing/2014/main" id="{939BD14B-5F04-4241-9C7F-DA6A155F09A2}"/>
            </a:ext>
          </a:extLst>
        </xdr:cNvPr>
        <xdr:cNvCxnSpPr>
          <a:stCxn id="16" idx="2"/>
        </xdr:cNvCxnSpPr>
      </xdr:nvCxnSpPr>
      <xdr:spPr>
        <a:xfrm flipH="1">
          <a:off x="4733925" y="4931332"/>
          <a:ext cx="1327530" cy="612218"/>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xdr:col>
      <xdr:colOff>542925</xdr:colOff>
      <xdr:row>30</xdr:row>
      <xdr:rowOff>114299</xdr:rowOff>
    </xdr:from>
    <xdr:to>
      <xdr:col>10</xdr:col>
      <xdr:colOff>195204</xdr:colOff>
      <xdr:row>33</xdr:row>
      <xdr:rowOff>16654</xdr:rowOff>
    </xdr:to>
    <xdr:pic>
      <xdr:nvPicPr>
        <xdr:cNvPr id="62" name="Grafik 61">
          <a:extLst>
            <a:ext uri="{FF2B5EF4-FFF2-40B4-BE49-F238E27FC236}">
              <a16:creationId xmlns:a16="http://schemas.microsoft.com/office/drawing/2014/main" id="{7EAA07B4-6D88-4FF4-A437-102BD7FD5310}"/>
            </a:ext>
          </a:extLst>
        </xdr:cNvPr>
        <xdr:cNvPicPr>
          <a:picLocks noChangeAspect="1"/>
        </xdr:cNvPicPr>
      </xdr:nvPicPr>
      <xdr:blipFill>
        <a:blip xmlns:r="http://schemas.openxmlformats.org/officeDocument/2006/relationships" r:embed="rId12"/>
        <a:stretch>
          <a:fillRect/>
        </a:stretch>
      </xdr:blipFill>
      <xdr:spPr>
        <a:xfrm>
          <a:off x="4648200" y="6067424"/>
          <a:ext cx="2700279" cy="438077"/>
        </a:xfrm>
        <a:prstGeom prst="rect">
          <a:avLst/>
        </a:prstGeom>
      </xdr:spPr>
    </xdr:pic>
    <xdr:clientData/>
  </xdr:twoCellAnchor>
  <xdr:twoCellAnchor>
    <xdr:from>
      <xdr:col>1</xdr:col>
      <xdr:colOff>192406</xdr:colOff>
      <xdr:row>7</xdr:row>
      <xdr:rowOff>0</xdr:rowOff>
    </xdr:from>
    <xdr:to>
      <xdr:col>3</xdr:col>
      <xdr:colOff>552450</xdr:colOff>
      <xdr:row>7</xdr:row>
      <xdr:rowOff>0</xdr:rowOff>
    </xdr:to>
    <xdr:cxnSp macro="">
      <xdr:nvCxnSpPr>
        <xdr:cNvPr id="142" name="Gerade Verbindung 99">
          <a:extLst>
            <a:ext uri="{FF2B5EF4-FFF2-40B4-BE49-F238E27FC236}">
              <a16:creationId xmlns:a16="http://schemas.microsoft.com/office/drawing/2014/main" id="{21039C5A-5634-4563-A034-5A705480FD2F}"/>
            </a:ext>
          </a:extLst>
        </xdr:cNvPr>
        <xdr:cNvCxnSpPr/>
      </xdr:nvCxnSpPr>
      <xdr:spPr>
        <a:xfrm flipH="1">
          <a:off x="487681" y="1838325"/>
          <a:ext cx="1884044" cy="0"/>
        </a:xfrm>
        <a:prstGeom prst="line">
          <a:avLst/>
        </a:prstGeom>
        <a:ln w="12700">
          <a:gradFill flip="none" rotWithShape="1">
            <a:gsLst>
              <a:gs pos="0">
                <a:srgbClr val="00BECE"/>
              </a:gs>
              <a:gs pos="100000">
                <a:srgbClr val="6FCC0D"/>
              </a:gs>
            </a:gsLst>
            <a:lin ang="10800000" scaled="1"/>
            <a:tileRect/>
          </a:gradFill>
          <a:headEnd type="oval"/>
          <a:tailEnd type="oval"/>
        </a:ln>
        <a:effectLst/>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68581</xdr:colOff>
      <xdr:row>37</xdr:row>
      <xdr:rowOff>0</xdr:rowOff>
    </xdr:from>
    <xdr:to>
      <xdr:col>3</xdr:col>
      <xdr:colOff>428625</xdr:colOff>
      <xdr:row>37</xdr:row>
      <xdr:rowOff>0</xdr:rowOff>
    </xdr:to>
    <xdr:cxnSp macro="">
      <xdr:nvCxnSpPr>
        <xdr:cNvPr id="145" name="Gerade Verbindung 99">
          <a:extLst>
            <a:ext uri="{FF2B5EF4-FFF2-40B4-BE49-F238E27FC236}">
              <a16:creationId xmlns:a16="http://schemas.microsoft.com/office/drawing/2014/main" id="{E0F14CE8-250B-47B8-8A14-F6BF2FBF4571}"/>
            </a:ext>
          </a:extLst>
        </xdr:cNvPr>
        <xdr:cNvCxnSpPr/>
      </xdr:nvCxnSpPr>
      <xdr:spPr>
        <a:xfrm flipH="1">
          <a:off x="363856" y="7219950"/>
          <a:ext cx="1884044" cy="0"/>
        </a:xfrm>
        <a:prstGeom prst="line">
          <a:avLst/>
        </a:prstGeom>
        <a:ln w="12700">
          <a:gradFill flip="none" rotWithShape="1">
            <a:gsLst>
              <a:gs pos="0">
                <a:srgbClr val="00BECE"/>
              </a:gs>
              <a:gs pos="100000">
                <a:srgbClr val="6FCC0D"/>
              </a:gs>
            </a:gsLst>
            <a:lin ang="10800000" scaled="1"/>
            <a:tileRect/>
          </a:gradFill>
          <a:headEnd type="oval"/>
          <a:tailEnd type="oval"/>
        </a:ln>
        <a:effectLst/>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6</xdr:col>
      <xdr:colOff>695325</xdr:colOff>
      <xdr:row>56</xdr:row>
      <xdr:rowOff>19050</xdr:rowOff>
    </xdr:from>
    <xdr:to>
      <xdr:col>11</xdr:col>
      <xdr:colOff>447230</xdr:colOff>
      <xdr:row>59</xdr:row>
      <xdr:rowOff>71402</xdr:rowOff>
    </xdr:to>
    <xdr:pic>
      <xdr:nvPicPr>
        <xdr:cNvPr id="4115" name="Grafik 4114">
          <a:extLst>
            <a:ext uri="{FF2B5EF4-FFF2-40B4-BE49-F238E27FC236}">
              <a16:creationId xmlns:a16="http://schemas.microsoft.com/office/drawing/2014/main" id="{658AF849-6DEE-4E1A-8AAD-526D7BF4E202}"/>
            </a:ext>
          </a:extLst>
        </xdr:cNvPr>
        <xdr:cNvPicPr>
          <a:picLocks noChangeAspect="1"/>
        </xdr:cNvPicPr>
      </xdr:nvPicPr>
      <xdr:blipFill>
        <a:blip xmlns:r="http://schemas.openxmlformats.org/officeDocument/2006/relationships" r:embed="rId13"/>
        <a:stretch>
          <a:fillRect/>
        </a:stretch>
      </xdr:blipFill>
      <xdr:spPr>
        <a:xfrm>
          <a:off x="4800600" y="10687050"/>
          <a:ext cx="3561905" cy="600000"/>
        </a:xfrm>
        <a:prstGeom prst="rect">
          <a:avLst/>
        </a:prstGeom>
      </xdr:spPr>
    </xdr:pic>
    <xdr:clientData/>
  </xdr:twoCellAnchor>
  <xdr:twoCellAnchor editAs="oneCell">
    <xdr:from>
      <xdr:col>2</xdr:col>
      <xdr:colOff>304800</xdr:colOff>
      <xdr:row>18</xdr:row>
      <xdr:rowOff>142874</xdr:rowOff>
    </xdr:from>
    <xdr:to>
      <xdr:col>6</xdr:col>
      <xdr:colOff>83617</xdr:colOff>
      <xdr:row>21</xdr:row>
      <xdr:rowOff>47549</xdr:rowOff>
    </xdr:to>
    <xdr:pic>
      <xdr:nvPicPr>
        <xdr:cNvPr id="4116" name="Grafik 4115">
          <a:extLst>
            <a:ext uri="{FF2B5EF4-FFF2-40B4-BE49-F238E27FC236}">
              <a16:creationId xmlns:a16="http://schemas.microsoft.com/office/drawing/2014/main" id="{83741409-8DDD-48EA-8E42-AD6C087DD141}"/>
            </a:ext>
          </a:extLst>
        </xdr:cNvPr>
        <xdr:cNvPicPr>
          <a:picLocks noChangeAspect="1"/>
        </xdr:cNvPicPr>
      </xdr:nvPicPr>
      <xdr:blipFill>
        <a:blip xmlns:r="http://schemas.openxmlformats.org/officeDocument/2006/relationships" r:embed="rId13"/>
        <a:stretch>
          <a:fillRect/>
        </a:stretch>
      </xdr:blipFill>
      <xdr:spPr>
        <a:xfrm>
          <a:off x="1362075" y="3876674"/>
          <a:ext cx="2826817" cy="476175"/>
        </a:xfrm>
        <a:prstGeom prst="rect">
          <a:avLst/>
        </a:prstGeom>
      </xdr:spPr>
    </xdr:pic>
    <xdr:clientData/>
  </xdr:twoCellAnchor>
  <xdr:twoCellAnchor>
    <xdr:from>
      <xdr:col>1</xdr:col>
      <xdr:colOff>49531</xdr:colOff>
      <xdr:row>61</xdr:row>
      <xdr:rowOff>171450</xdr:rowOff>
    </xdr:from>
    <xdr:to>
      <xdr:col>3</xdr:col>
      <xdr:colOff>752475</xdr:colOff>
      <xdr:row>61</xdr:row>
      <xdr:rowOff>171450</xdr:rowOff>
    </xdr:to>
    <xdr:cxnSp macro="">
      <xdr:nvCxnSpPr>
        <xdr:cNvPr id="160" name="Gerade Verbindung 99">
          <a:extLst>
            <a:ext uri="{FF2B5EF4-FFF2-40B4-BE49-F238E27FC236}">
              <a16:creationId xmlns:a16="http://schemas.microsoft.com/office/drawing/2014/main" id="{6FB6E37C-3A8E-450F-83A5-AACFFBD11759}"/>
            </a:ext>
          </a:extLst>
        </xdr:cNvPr>
        <xdr:cNvCxnSpPr/>
      </xdr:nvCxnSpPr>
      <xdr:spPr>
        <a:xfrm flipH="1">
          <a:off x="344806" y="11753850"/>
          <a:ext cx="2226944" cy="0"/>
        </a:xfrm>
        <a:prstGeom prst="line">
          <a:avLst/>
        </a:prstGeom>
        <a:ln w="12700">
          <a:gradFill flip="none" rotWithShape="1">
            <a:gsLst>
              <a:gs pos="0">
                <a:srgbClr val="00BECE"/>
              </a:gs>
              <a:gs pos="100000">
                <a:srgbClr val="6FCC0D"/>
              </a:gs>
            </a:gsLst>
            <a:lin ang="10800000" scaled="1"/>
            <a:tileRect/>
          </a:gradFill>
          <a:headEnd type="oval"/>
          <a:tailEnd type="oval"/>
        </a:ln>
        <a:effectLst/>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638176</xdr:colOff>
      <xdr:row>63</xdr:row>
      <xdr:rowOff>19050</xdr:rowOff>
    </xdr:from>
    <xdr:to>
      <xdr:col>15</xdr:col>
      <xdr:colOff>180975</xdr:colOff>
      <xdr:row>75</xdr:row>
      <xdr:rowOff>104775</xdr:rowOff>
    </xdr:to>
    <xdr:sp macro="" textlink="">
      <xdr:nvSpPr>
        <xdr:cNvPr id="124" name="Textfeld 123">
          <a:extLst>
            <a:ext uri="{FF2B5EF4-FFF2-40B4-BE49-F238E27FC236}">
              <a16:creationId xmlns:a16="http://schemas.microsoft.com/office/drawing/2014/main" id="{00000000-0008-0000-0300-00007C000000}"/>
            </a:ext>
          </a:extLst>
        </xdr:cNvPr>
        <xdr:cNvSpPr txBox="1"/>
      </xdr:nvSpPr>
      <xdr:spPr>
        <a:xfrm>
          <a:off x="6267451" y="11963400"/>
          <a:ext cx="4876799" cy="2276475"/>
        </a:xfrm>
        <a:prstGeom prst="rect">
          <a:avLst/>
        </a:prstGeom>
        <a:solidFill>
          <a:schemeClr val="lt1"/>
        </a:solidFill>
        <a:ln>
          <a:gradFill flip="none" rotWithShape="1">
            <a:gsLst>
              <a:gs pos="0">
                <a:srgbClr val="00BECE"/>
              </a:gs>
              <a:gs pos="100000">
                <a:srgbClr val="6FCC0D"/>
              </a:gs>
            </a:gsLst>
            <a:lin ang="0" scaled="1"/>
            <a:tileRect/>
          </a:grad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Wählen Sie bitte gemäß Vorgabe [min. 1 Zeichen, max. 5 Zeichen]die Codes für Ihre Schülerinnen und Schüler.  </a:t>
          </a:r>
        </a:p>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gewählten Codes werden in der gleichen Reihenfolge automatisch in die Tabelle, in welche Sie nachfolgend die Ergebnisse aus dem Motorik-Test übertragen, übernommen. </a:t>
          </a:r>
        </a:p>
        <a:p>
          <a:pPr algn="l">
            <a:lnSpc>
              <a:spcPts val="1300"/>
            </a:lnSpc>
          </a:pPr>
          <a:r>
            <a:rPr kumimoji="0" lang="de-DE" sz="105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Haben Sie zuerst die Testergebnisse eingegeben ( "TEST-DATEN"), gehen Sie bitte sicher, dass Sie nun bei der Eingabe im Schülerprofil dieselbe Reihenfolge wählen und die Schreibweise der Codes übereinstimmt.</a:t>
          </a:r>
        </a:p>
        <a:p>
          <a:pPr algn="l">
            <a:lnSpc>
              <a:spcPts val="17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Füllen Sie bitte unbedingt auch die Zellen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Geschlecht</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Geburtsdatum", "Größe"</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und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"Gewicht"</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aus, da ansonsten keine Auswertung der Daten erfolgen kann.  </a:t>
          </a:r>
        </a:p>
      </xdr:txBody>
    </xdr:sp>
    <xdr:clientData/>
  </xdr:twoCellAnchor>
  <xdr:twoCellAnchor editAs="oneCell">
    <xdr:from>
      <xdr:col>2</xdr:col>
      <xdr:colOff>114300</xdr:colOff>
      <xdr:row>133</xdr:row>
      <xdr:rowOff>66675</xdr:rowOff>
    </xdr:from>
    <xdr:to>
      <xdr:col>5</xdr:col>
      <xdr:colOff>666395</xdr:colOff>
      <xdr:row>137</xdr:row>
      <xdr:rowOff>142773</xdr:rowOff>
    </xdr:to>
    <xdr:pic>
      <xdr:nvPicPr>
        <xdr:cNvPr id="20" name="Grafik 19">
          <a:extLst>
            <a:ext uri="{FF2B5EF4-FFF2-40B4-BE49-F238E27FC236}">
              <a16:creationId xmlns:a16="http://schemas.microsoft.com/office/drawing/2014/main" id="{64554DC7-13DC-4901-9F08-A56B774D41E3}"/>
            </a:ext>
          </a:extLst>
        </xdr:cNvPr>
        <xdr:cNvPicPr>
          <a:picLocks noChangeAspect="1"/>
        </xdr:cNvPicPr>
      </xdr:nvPicPr>
      <xdr:blipFill>
        <a:blip xmlns:r="http://schemas.openxmlformats.org/officeDocument/2006/relationships" r:embed="rId14"/>
        <a:stretch>
          <a:fillRect/>
        </a:stretch>
      </xdr:blipFill>
      <xdr:spPr>
        <a:xfrm>
          <a:off x="1171575" y="24774525"/>
          <a:ext cx="2838095" cy="819048"/>
        </a:xfrm>
        <a:prstGeom prst="rect">
          <a:avLst/>
        </a:prstGeom>
      </xdr:spPr>
    </xdr:pic>
    <xdr:clientData/>
  </xdr:twoCellAnchor>
  <xdr:twoCellAnchor>
    <xdr:from>
      <xdr:col>1</xdr:col>
      <xdr:colOff>59056</xdr:colOff>
      <xdr:row>141</xdr:row>
      <xdr:rowOff>95250</xdr:rowOff>
    </xdr:from>
    <xdr:to>
      <xdr:col>4</xdr:col>
      <xdr:colOff>0</xdr:colOff>
      <xdr:row>141</xdr:row>
      <xdr:rowOff>95250</xdr:rowOff>
    </xdr:to>
    <xdr:cxnSp macro="">
      <xdr:nvCxnSpPr>
        <xdr:cNvPr id="86" name="Gerade Verbindung 99">
          <a:extLst>
            <a:ext uri="{FF2B5EF4-FFF2-40B4-BE49-F238E27FC236}">
              <a16:creationId xmlns:a16="http://schemas.microsoft.com/office/drawing/2014/main" id="{9CCE17EA-9206-45D8-A0CA-31FED4FC470B}"/>
            </a:ext>
          </a:extLst>
        </xdr:cNvPr>
        <xdr:cNvCxnSpPr/>
      </xdr:nvCxnSpPr>
      <xdr:spPr>
        <a:xfrm flipH="1">
          <a:off x="354331" y="26269950"/>
          <a:ext cx="2226944" cy="0"/>
        </a:xfrm>
        <a:prstGeom prst="line">
          <a:avLst/>
        </a:prstGeom>
        <a:ln w="12700">
          <a:gradFill flip="none" rotWithShape="1">
            <a:gsLst>
              <a:gs pos="0">
                <a:srgbClr val="00BECE"/>
              </a:gs>
              <a:gs pos="100000">
                <a:srgbClr val="6FCC0D"/>
              </a:gs>
            </a:gsLst>
            <a:lin ang="10800000" scaled="1"/>
            <a:tileRect/>
          </a:gradFill>
          <a:headEnd type="oval"/>
          <a:tailEnd type="oval"/>
        </a:ln>
        <a:effectLst/>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287657</xdr:colOff>
      <xdr:row>211</xdr:row>
      <xdr:rowOff>142875</xdr:rowOff>
    </xdr:from>
    <xdr:to>
      <xdr:col>15</xdr:col>
      <xdr:colOff>752475</xdr:colOff>
      <xdr:row>211</xdr:row>
      <xdr:rowOff>142875</xdr:rowOff>
    </xdr:to>
    <xdr:cxnSp macro="">
      <xdr:nvCxnSpPr>
        <xdr:cNvPr id="87" name="Gerade Verbindung 99">
          <a:extLst>
            <a:ext uri="{FF2B5EF4-FFF2-40B4-BE49-F238E27FC236}">
              <a16:creationId xmlns:a16="http://schemas.microsoft.com/office/drawing/2014/main" id="{157B9FB5-3DC6-4AD2-91BC-A1072C088BAD}"/>
            </a:ext>
          </a:extLst>
        </xdr:cNvPr>
        <xdr:cNvCxnSpPr/>
      </xdr:nvCxnSpPr>
      <xdr:spPr>
        <a:xfrm flipH="1">
          <a:off x="582932" y="39052500"/>
          <a:ext cx="11132818" cy="0"/>
        </a:xfrm>
        <a:prstGeom prst="line">
          <a:avLst/>
        </a:prstGeom>
        <a:ln w="12700">
          <a:gradFill flip="none" rotWithShape="1">
            <a:gsLst>
              <a:gs pos="0">
                <a:srgbClr val="00BECE"/>
              </a:gs>
              <a:gs pos="100000">
                <a:srgbClr val="6FCC0D"/>
              </a:gs>
            </a:gsLst>
            <a:lin ang="10800000" scaled="1"/>
            <a:tileRect/>
          </a:gradFill>
          <a:headEnd type="oval"/>
          <a:tailEnd type="oval"/>
        </a:ln>
        <a:effectLst/>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285750</xdr:colOff>
      <xdr:row>212</xdr:row>
      <xdr:rowOff>47625</xdr:rowOff>
    </xdr:from>
    <xdr:to>
      <xdr:col>15</xdr:col>
      <xdr:colOff>752475</xdr:colOff>
      <xdr:row>212</xdr:row>
      <xdr:rowOff>47625</xdr:rowOff>
    </xdr:to>
    <xdr:cxnSp macro="">
      <xdr:nvCxnSpPr>
        <xdr:cNvPr id="90" name="Gerade Verbindung 99">
          <a:extLst>
            <a:ext uri="{FF2B5EF4-FFF2-40B4-BE49-F238E27FC236}">
              <a16:creationId xmlns:a16="http://schemas.microsoft.com/office/drawing/2014/main" id="{C53D023C-BD15-4A78-A099-E506F26B9488}"/>
            </a:ext>
          </a:extLst>
        </xdr:cNvPr>
        <xdr:cNvCxnSpPr/>
      </xdr:nvCxnSpPr>
      <xdr:spPr>
        <a:xfrm flipH="1">
          <a:off x="581025" y="39138225"/>
          <a:ext cx="11134725" cy="0"/>
        </a:xfrm>
        <a:prstGeom prst="line">
          <a:avLst/>
        </a:prstGeom>
        <a:ln w="12700">
          <a:gradFill flip="none" rotWithShape="1">
            <a:gsLst>
              <a:gs pos="0">
                <a:srgbClr val="00BECE"/>
              </a:gs>
              <a:gs pos="100000">
                <a:srgbClr val="6FCC0D"/>
              </a:gs>
            </a:gsLst>
            <a:lin ang="10800000" scaled="1"/>
            <a:tileRect/>
          </a:gradFill>
          <a:headEnd type="oval"/>
          <a:tailEnd type="oval"/>
        </a:ln>
        <a:effectLst/>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0</xdr:col>
      <xdr:colOff>0</xdr:colOff>
      <xdr:row>63</xdr:row>
      <xdr:rowOff>57150</xdr:rowOff>
    </xdr:from>
    <xdr:to>
      <xdr:col>8</xdr:col>
      <xdr:colOff>371475</xdr:colOff>
      <xdr:row>73</xdr:row>
      <xdr:rowOff>142875</xdr:rowOff>
    </xdr:to>
    <xdr:pic>
      <xdr:nvPicPr>
        <xdr:cNvPr id="3" name="Grafik 2">
          <a:extLst>
            <a:ext uri="{FF2B5EF4-FFF2-40B4-BE49-F238E27FC236}">
              <a16:creationId xmlns:a16="http://schemas.microsoft.com/office/drawing/2014/main" id="{53F1C25E-5605-4324-BB79-7391FE91093F}"/>
            </a:ext>
          </a:extLst>
        </xdr:cNvPr>
        <xdr:cNvPicPr>
          <a:picLocks noChangeAspect="1"/>
        </xdr:cNvPicPr>
      </xdr:nvPicPr>
      <xdr:blipFill rotWithShape="1">
        <a:blip xmlns:r="http://schemas.openxmlformats.org/officeDocument/2006/relationships" r:embed="rId15"/>
        <a:srcRect l="4451" t="16614" r="13079" b="16601"/>
        <a:stretch/>
      </xdr:blipFill>
      <xdr:spPr>
        <a:xfrm>
          <a:off x="0" y="12001500"/>
          <a:ext cx="6000750" cy="19145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a:tailEnd type="triangle"/>
        </a:ln>
      </a:spPr>
      <a:bodyPr/>
      <a:lstStyle/>
      <a:style>
        <a:lnRef idx="1">
          <a:schemeClr val="dk1"/>
        </a:lnRef>
        <a:fillRef idx="0">
          <a:schemeClr val="dk1"/>
        </a:fillRef>
        <a:effectRef idx="0">
          <a:schemeClr val="dk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tabColor rgb="FF00BECE"/>
  </sheetPr>
  <dimension ref="A1:I35"/>
  <sheetViews>
    <sheetView showGridLines="0" tabSelected="1" topLeftCell="A11" zoomScaleNormal="100" workbookViewId="0">
      <selection activeCell="C7" sqref="C7:F7"/>
    </sheetView>
  </sheetViews>
  <sheetFormatPr baseColWidth="10" defaultColWidth="11.5" defaultRowHeight="15" x14ac:dyDescent="0.2"/>
  <cols>
    <col min="1" max="1" width="11.1640625" style="171" customWidth="1"/>
    <col min="2" max="2" width="20.83203125" style="171" customWidth="1"/>
    <col min="3" max="3" width="16.5" style="171" customWidth="1"/>
    <col min="4" max="4" width="19.5" style="171" customWidth="1"/>
    <col min="5" max="5" width="15.5" style="171" customWidth="1"/>
    <col min="6" max="6" width="16.5" style="171" customWidth="1"/>
    <col min="7" max="7" width="10.5" style="171" customWidth="1"/>
    <col min="8" max="8" width="16" style="171" customWidth="1"/>
    <col min="9" max="9" width="15.5" style="171" customWidth="1"/>
    <col min="10" max="10" width="13.5" style="171" customWidth="1"/>
    <col min="11" max="11" width="9.5" style="171" customWidth="1"/>
    <col min="12" max="16384" width="11.5" style="171"/>
  </cols>
  <sheetData>
    <row r="1" spans="1:9" ht="18.75" customHeight="1" x14ac:dyDescent="0.2">
      <c r="A1" s="169"/>
      <c r="B1" s="193" t="s">
        <v>90</v>
      </c>
      <c r="C1" s="193"/>
      <c r="D1" s="193"/>
      <c r="E1" s="193"/>
      <c r="F1" s="193"/>
      <c r="G1" s="193"/>
      <c r="H1" s="193"/>
      <c r="I1" s="170"/>
    </row>
    <row r="2" spans="1:9" ht="15" customHeight="1" x14ac:dyDescent="0.2">
      <c r="A2" s="169"/>
      <c r="B2" s="193"/>
      <c r="C2" s="193"/>
      <c r="D2" s="193"/>
      <c r="E2" s="193"/>
      <c r="F2" s="193"/>
      <c r="G2" s="193"/>
      <c r="H2" s="193"/>
      <c r="I2" s="170"/>
    </row>
    <row r="3" spans="1:9" ht="15" customHeight="1" x14ac:dyDescent="0.2">
      <c r="A3" s="169"/>
      <c r="B3" s="193"/>
      <c r="C3" s="193"/>
      <c r="D3" s="193"/>
      <c r="E3" s="193"/>
      <c r="F3" s="193"/>
      <c r="G3" s="193"/>
      <c r="H3" s="193"/>
      <c r="I3" s="170"/>
    </row>
    <row r="4" spans="1:9" x14ac:dyDescent="0.2">
      <c r="A4" s="170"/>
      <c r="B4" s="170"/>
      <c r="C4" s="170"/>
      <c r="D4" s="170"/>
      <c r="E4" s="170"/>
      <c r="F4" s="170"/>
      <c r="G4" s="170"/>
      <c r="H4" s="170"/>
      <c r="I4" s="170"/>
    </row>
    <row r="5" spans="1:9" x14ac:dyDescent="0.2">
      <c r="B5" s="172" t="s">
        <v>45</v>
      </c>
      <c r="C5" s="206" t="s">
        <v>135</v>
      </c>
      <c r="D5" s="206"/>
      <c r="E5" s="206"/>
      <c r="F5" s="206"/>
    </row>
    <row r="6" spans="1:9" x14ac:dyDescent="0.2">
      <c r="B6" s="172" t="s">
        <v>13</v>
      </c>
      <c r="C6" s="207" t="s">
        <v>136</v>
      </c>
      <c r="D6" s="207"/>
      <c r="E6" s="207"/>
      <c r="F6" s="207"/>
    </row>
    <row r="7" spans="1:9" ht="17.25" customHeight="1" x14ac:dyDescent="0.2">
      <c r="B7" s="172" t="s">
        <v>46</v>
      </c>
      <c r="C7" s="207">
        <v>99999</v>
      </c>
      <c r="D7" s="207"/>
      <c r="E7" s="207"/>
      <c r="F7" s="207"/>
    </row>
    <row r="8" spans="1:9" ht="19.5" customHeight="1" x14ac:dyDescent="0.2">
      <c r="B8" s="173" t="s">
        <v>132</v>
      </c>
      <c r="C8" t="s">
        <v>134</v>
      </c>
    </row>
    <row r="9" spans="1:9" ht="19.5" customHeight="1" x14ac:dyDescent="0.2">
      <c r="B9" s="173" t="s">
        <v>133</v>
      </c>
      <c r="C9" s="171">
        <v>30</v>
      </c>
      <c r="D9" s="171">
        <v>11</v>
      </c>
      <c r="E9" s="171">
        <v>2017</v>
      </c>
    </row>
    <row r="10" spans="1:9" ht="19.5" customHeight="1" x14ac:dyDescent="0.2">
      <c r="B10" s="173"/>
    </row>
    <row r="11" spans="1:9" ht="19.5" customHeight="1" x14ac:dyDescent="0.2">
      <c r="B11" s="173"/>
    </row>
    <row r="12" spans="1:9" ht="19.5" customHeight="1" x14ac:dyDescent="0.2">
      <c r="B12" s="173"/>
    </row>
    <row r="13" spans="1:9" ht="19.5" customHeight="1" x14ac:dyDescent="0.2">
      <c r="B13" s="173"/>
    </row>
    <row r="14" spans="1:9" ht="19.5" customHeight="1" x14ac:dyDescent="0.2">
      <c r="B14" s="173"/>
    </row>
    <row r="15" spans="1:9" ht="19.5" customHeight="1" x14ac:dyDescent="0.2">
      <c r="B15" s="173"/>
    </row>
    <row r="16" spans="1:9" ht="19.5" customHeight="1" x14ac:dyDescent="0.2">
      <c r="B16" s="173"/>
    </row>
    <row r="17" spans="2:6" ht="19.5" customHeight="1" x14ac:dyDescent="0.2">
      <c r="B17" s="173"/>
    </row>
    <row r="18" spans="2:6" ht="19.5" customHeight="1" x14ac:dyDescent="0.2">
      <c r="B18" s="173"/>
      <c r="C18" s="200" t="s">
        <v>95</v>
      </c>
      <c r="D18" s="201"/>
      <c r="E18" s="202"/>
      <c r="F18" s="174"/>
    </row>
    <row r="19" spans="2:6" ht="19.5" customHeight="1" x14ac:dyDescent="0.2">
      <c r="B19" s="173"/>
      <c r="C19" s="203"/>
      <c r="D19" s="204"/>
      <c r="E19" s="205"/>
      <c r="F19" s="174"/>
    </row>
    <row r="20" spans="2:6" ht="19.5" customHeight="1" thickBot="1" x14ac:dyDescent="0.25">
      <c r="B20" s="173"/>
    </row>
    <row r="21" spans="2:6" ht="19.5" customHeight="1" x14ac:dyDescent="0.2">
      <c r="B21" s="173"/>
      <c r="C21" s="194" t="s">
        <v>79</v>
      </c>
      <c r="D21" s="195"/>
      <c r="E21" s="196"/>
    </row>
    <row r="22" spans="2:6" ht="19.5" customHeight="1" thickBot="1" x14ac:dyDescent="0.25">
      <c r="B22" s="173"/>
      <c r="C22" s="197"/>
      <c r="D22" s="198"/>
      <c r="E22" s="199"/>
    </row>
    <row r="23" spans="2:6" ht="19.5" customHeight="1" x14ac:dyDescent="0.2">
      <c r="B23" s="173"/>
    </row>
    <row r="24" spans="2:6" ht="19.5" customHeight="1" x14ac:dyDescent="0.2">
      <c r="B24" s="173"/>
    </row>
    <row r="25" spans="2:6" ht="19.5" customHeight="1" x14ac:dyDescent="0.2">
      <c r="B25" s="173"/>
    </row>
    <row r="26" spans="2:6" ht="19.5" customHeight="1" x14ac:dyDescent="0.2">
      <c r="B26" s="173"/>
    </row>
    <row r="27" spans="2:6" ht="19.5" customHeight="1" x14ac:dyDescent="0.2">
      <c r="B27" s="173"/>
    </row>
    <row r="28" spans="2:6" ht="19.5" customHeight="1" x14ac:dyDescent="0.2">
      <c r="B28" s="173"/>
    </row>
    <row r="29" spans="2:6" ht="25.5" customHeight="1" x14ac:dyDescent="0.2">
      <c r="B29" s="173"/>
    </row>
    <row r="30" spans="2:6" ht="9.75" customHeight="1" x14ac:dyDescent="0.2"/>
    <row r="31" spans="2:6" ht="12.75" customHeight="1" x14ac:dyDescent="0.2"/>
    <row r="32" spans="2:6" ht="19.5" customHeight="1" x14ac:dyDescent="0.2"/>
    <row r="33" spans="2:6" ht="6.75" customHeight="1" x14ac:dyDescent="0.2">
      <c r="F33" s="175"/>
    </row>
    <row r="34" spans="2:6" ht="12.75" customHeight="1" x14ac:dyDescent="0.2">
      <c r="F34" s="176"/>
    </row>
    <row r="35" spans="2:6" x14ac:dyDescent="0.2">
      <c r="B35" s="177"/>
      <c r="C35" s="178"/>
      <c r="D35" s="179"/>
      <c r="E35" s="179"/>
      <c r="F35" s="178"/>
    </row>
  </sheetData>
  <sheetProtection formatCells="0" formatColumns="0" formatRows="0" insertColumns="0" insertRows="0" insertHyperlinks="0" deleteColumns="0" deleteRows="0" sort="0" autoFilter="0" pivotTables="0"/>
  <dataConsolidate/>
  <mergeCells count="6">
    <mergeCell ref="B1:H3"/>
    <mergeCell ref="C21:E22"/>
    <mergeCell ref="C18:E19"/>
    <mergeCell ref="C5:F5"/>
    <mergeCell ref="C6:F6"/>
    <mergeCell ref="C7:F7"/>
  </mergeCells>
  <dataValidations disablePrompts="1" count="1">
    <dataValidation type="list" allowBlank="1" showInputMessage="1" showErrorMessage="1" sqref="F33" xr:uid="{00000000-0002-0000-0000-000000000000}">
      <formula1>Lehrbefähigung_neu</formula1>
    </dataValidation>
  </dataValidations>
  <hyperlinks>
    <hyperlink ref="C21:E22" location="'Hilfe zur Dateneingabe'!A1" tooltip="Durch Klicken gelangen Sie zum &quot;Tutorial Dateneingabe&quot;" display="Hilfe zur Dateneingabe" xr:uid="{00000000-0004-0000-0000-000000000000}"/>
    <hyperlink ref="C18:E19" location="Schülerprofil!A1" display="→ mit der Dateneingabe beginnen" xr:uid="{00000000-0004-0000-0000-000001000000}"/>
  </hyperlink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3">
    <tabColor rgb="FFFFFF00"/>
  </sheetPr>
  <dimension ref="A1:R175"/>
  <sheetViews>
    <sheetView showGridLines="0" topLeftCell="A12" zoomScaleNormal="100" workbookViewId="0">
      <selection activeCell="K23" sqref="K23"/>
    </sheetView>
  </sheetViews>
  <sheetFormatPr baseColWidth="10" defaultColWidth="11.5" defaultRowHeight="14" x14ac:dyDescent="0.15"/>
  <cols>
    <col min="1" max="1" width="4.5" style="15" customWidth="1"/>
    <col min="2" max="2" width="5.1640625" style="22" bestFit="1" customWidth="1"/>
    <col min="3" max="4" width="15.5" style="15" customWidth="1"/>
    <col min="5" max="5" width="19.5" style="15" customWidth="1"/>
    <col min="6" max="7" width="7.5" style="15" customWidth="1"/>
    <col min="8" max="8" width="6.5" style="15" bestFit="1" customWidth="1"/>
    <col min="9" max="9" width="8.5" style="15" bestFit="1" customWidth="1"/>
    <col min="10" max="10" width="12" style="15" bestFit="1" customWidth="1"/>
    <col min="11" max="11" width="14" style="15" customWidth="1"/>
    <col min="12" max="12" width="17.5" style="15" customWidth="1"/>
    <col min="13" max="13" width="14.5" style="15" customWidth="1"/>
    <col min="14" max="14" width="10.5" style="15" customWidth="1"/>
    <col min="15" max="15" width="15" style="15" customWidth="1"/>
    <col min="16" max="17" width="15.83203125" style="15" customWidth="1"/>
    <col min="18" max="18" width="41.1640625" style="15" bestFit="1" customWidth="1"/>
    <col min="19" max="16384" width="11.5" style="15"/>
  </cols>
  <sheetData>
    <row r="1" spans="1:18" ht="33" customHeight="1" x14ac:dyDescent="0.2">
      <c r="B1" s="16"/>
      <c r="C1" s="29" t="s">
        <v>78</v>
      </c>
      <c r="J1" s="17"/>
      <c r="K1" s="17"/>
      <c r="L1" s="17"/>
    </row>
    <row r="2" spans="1:18" ht="14.25" customHeight="1" thickBot="1" x14ac:dyDescent="0.2">
      <c r="B2" s="16"/>
      <c r="J2" s="17"/>
      <c r="K2" s="17"/>
      <c r="L2" s="17"/>
    </row>
    <row r="3" spans="1:18" ht="19.5" customHeight="1" x14ac:dyDescent="0.2">
      <c r="B3" s="16"/>
      <c r="C3" s="18"/>
      <c r="J3" s="17"/>
      <c r="K3" s="17"/>
      <c r="L3" s="17"/>
      <c r="N3" s="226" t="s">
        <v>79</v>
      </c>
      <c r="O3" s="227"/>
      <c r="P3" s="228"/>
    </row>
    <row r="4" spans="1:18" ht="16.5" customHeight="1" thickBot="1" x14ac:dyDescent="0.25">
      <c r="B4" s="16"/>
      <c r="C4" s="18"/>
      <c r="J4" s="17"/>
      <c r="K4" s="17"/>
      <c r="L4" s="17"/>
      <c r="N4" s="229"/>
      <c r="O4" s="230"/>
      <c r="P4" s="231"/>
    </row>
    <row r="5" spans="1:18" ht="15.75" customHeight="1" thickBot="1" x14ac:dyDescent="0.2">
      <c r="B5" s="16"/>
      <c r="C5" s="17"/>
      <c r="J5" s="17"/>
      <c r="K5" s="17"/>
      <c r="L5" s="17"/>
      <c r="N5" s="19"/>
      <c r="O5" s="19"/>
    </row>
    <row r="6" spans="1:18" ht="18.75" customHeight="1" x14ac:dyDescent="0.15">
      <c r="B6" s="20"/>
      <c r="C6" s="21"/>
      <c r="J6" s="21"/>
      <c r="K6" s="21"/>
      <c r="L6" s="21"/>
      <c r="N6" s="215" t="s">
        <v>98</v>
      </c>
      <c r="O6" s="216"/>
      <c r="P6" s="217"/>
    </row>
    <row r="7" spans="1:18" ht="15" customHeight="1" x14ac:dyDescent="0.15">
      <c r="C7" s="14"/>
      <c r="D7" s="23"/>
      <c r="E7" s="23"/>
      <c r="F7" s="23"/>
      <c r="G7" s="23"/>
      <c r="H7" s="23"/>
      <c r="I7" s="23"/>
      <c r="J7" s="23"/>
      <c r="K7" s="23"/>
      <c r="M7" s="24"/>
      <c r="N7" s="218"/>
      <c r="O7" s="219"/>
      <c r="P7" s="220"/>
    </row>
    <row r="8" spans="1:18" ht="21" customHeight="1" thickBot="1" x14ac:dyDescent="0.2">
      <c r="C8" s="14"/>
      <c r="D8" s="23"/>
      <c r="E8" s="23"/>
      <c r="F8" s="23"/>
      <c r="G8" s="23"/>
      <c r="H8" s="23"/>
      <c r="I8" s="23"/>
      <c r="J8" s="23"/>
      <c r="K8" s="23"/>
      <c r="M8" s="24"/>
      <c r="N8" s="232"/>
      <c r="O8" s="233"/>
      <c r="P8" s="234"/>
    </row>
    <row r="9" spans="1:18" ht="17" thickBot="1" x14ac:dyDescent="0.25">
      <c r="C9" s="14"/>
      <c r="D9" s="23"/>
      <c r="E9" s="23"/>
      <c r="F9" s="23"/>
      <c r="G9" s="23"/>
      <c r="H9" s="23"/>
      <c r="I9" s="23"/>
      <c r="J9" s="23"/>
      <c r="K9" s="23"/>
      <c r="M9" s="24"/>
      <c r="P9" s="25"/>
    </row>
    <row r="10" spans="1:18" ht="36" customHeight="1" thickBot="1" x14ac:dyDescent="0.2">
      <c r="C10" s="14"/>
      <c r="J10" s="26"/>
      <c r="K10" s="26"/>
      <c r="N10" s="235" t="s">
        <v>99</v>
      </c>
      <c r="O10" s="236"/>
      <c r="P10" s="237"/>
    </row>
    <row r="11" spans="1:18" ht="15.75" customHeight="1" x14ac:dyDescent="0.15">
      <c r="C11" s="14"/>
      <c r="J11" s="26"/>
      <c r="K11" s="26"/>
      <c r="N11" s="27"/>
      <c r="O11" s="27"/>
      <c r="P11" s="27"/>
    </row>
    <row r="12" spans="1:18" s="28" customFormat="1" ht="18.75" customHeight="1" thickBot="1" x14ac:dyDescent="0.25">
      <c r="A12" s="35"/>
      <c r="B12" s="36"/>
      <c r="C12" s="35" t="s">
        <v>100</v>
      </c>
      <c r="D12" s="35"/>
      <c r="E12" s="35"/>
      <c r="F12" s="35"/>
      <c r="G12" s="35"/>
      <c r="H12" s="35"/>
      <c r="I12" s="35"/>
      <c r="J12" s="37"/>
      <c r="K12" s="35"/>
      <c r="L12" s="35"/>
      <c r="M12" s="35"/>
      <c r="N12" s="35"/>
      <c r="O12" s="35"/>
      <c r="P12" s="35"/>
      <c r="Q12" s="35"/>
      <c r="R12" s="35"/>
    </row>
    <row r="13" spans="1:18" ht="18" customHeight="1" thickBot="1" x14ac:dyDescent="0.2">
      <c r="A13" s="38"/>
      <c r="B13" s="39"/>
      <c r="C13" s="223" t="s">
        <v>82</v>
      </c>
      <c r="D13" s="224"/>
      <c r="E13" s="224"/>
      <c r="F13" s="224"/>
      <c r="G13" s="224"/>
      <c r="H13" s="224"/>
      <c r="I13" s="225"/>
      <c r="J13" s="210" t="s">
        <v>71</v>
      </c>
      <c r="K13" s="211"/>
      <c r="L13" s="211"/>
      <c r="M13" s="212"/>
      <c r="N13" s="238" t="s">
        <v>70</v>
      </c>
      <c r="O13" s="239"/>
      <c r="P13" s="239"/>
      <c r="Q13" s="239"/>
      <c r="R13" s="240"/>
    </row>
    <row r="14" spans="1:18" ht="42" x14ac:dyDescent="0.15">
      <c r="A14" s="38"/>
      <c r="B14" s="39"/>
      <c r="C14" s="40" t="s">
        <v>14</v>
      </c>
      <c r="D14" s="41" t="s">
        <v>15</v>
      </c>
      <c r="E14" s="42" t="s">
        <v>101</v>
      </c>
      <c r="F14" s="221" t="s">
        <v>35</v>
      </c>
      <c r="G14" s="222"/>
      <c r="H14" s="184" t="s">
        <v>107</v>
      </c>
      <c r="I14" s="183" t="s">
        <v>108</v>
      </c>
      <c r="J14" s="43" t="s">
        <v>77</v>
      </c>
      <c r="K14" s="44" t="s">
        <v>72</v>
      </c>
      <c r="L14" s="44" t="s">
        <v>73</v>
      </c>
      <c r="M14" s="44" t="s">
        <v>74</v>
      </c>
      <c r="N14" s="43" t="s">
        <v>16</v>
      </c>
      <c r="O14" s="44" t="s">
        <v>17</v>
      </c>
      <c r="P14" s="44" t="s">
        <v>18</v>
      </c>
      <c r="Q14" s="44" t="s">
        <v>19</v>
      </c>
      <c r="R14" s="32" t="s">
        <v>84</v>
      </c>
    </row>
    <row r="15" spans="1:18" s="21" customFormat="1" ht="17.25" customHeight="1" thickBot="1" x14ac:dyDescent="0.25">
      <c r="A15" s="45"/>
      <c r="B15" s="46"/>
      <c r="C15" s="47" t="s">
        <v>39</v>
      </c>
      <c r="D15" s="48" t="s">
        <v>64</v>
      </c>
      <c r="E15" s="49" t="s">
        <v>83</v>
      </c>
      <c r="F15" s="208" t="s">
        <v>88</v>
      </c>
      <c r="G15" s="209"/>
      <c r="H15" s="185"/>
      <c r="I15" s="180"/>
      <c r="J15" s="47" t="s">
        <v>67</v>
      </c>
      <c r="K15" s="50"/>
      <c r="L15" s="50"/>
      <c r="M15" s="50"/>
      <c r="N15" s="47" t="s">
        <v>68</v>
      </c>
      <c r="O15" s="50"/>
      <c r="P15" s="50"/>
      <c r="Q15" s="50"/>
      <c r="R15" s="34" t="s">
        <v>85</v>
      </c>
    </row>
    <row r="16" spans="1:18" ht="28.5" customHeight="1" x14ac:dyDescent="0.15">
      <c r="A16" s="213" t="s">
        <v>75</v>
      </c>
      <c r="B16" s="214"/>
      <c r="C16" s="51" t="s">
        <v>86</v>
      </c>
      <c r="D16" s="52" t="s">
        <v>81</v>
      </c>
      <c r="E16" s="53">
        <v>39695</v>
      </c>
      <c r="F16" s="54">
        <v>4</v>
      </c>
      <c r="G16" s="186">
        <v>2006</v>
      </c>
      <c r="H16" s="186">
        <v>140</v>
      </c>
      <c r="I16" s="181">
        <v>30</v>
      </c>
      <c r="J16" s="51" t="s">
        <v>20</v>
      </c>
      <c r="K16" s="55" t="s">
        <v>24</v>
      </c>
      <c r="L16" s="55" t="s">
        <v>36</v>
      </c>
      <c r="M16" s="56"/>
      <c r="N16" s="51" t="s">
        <v>20</v>
      </c>
      <c r="O16" s="55" t="s">
        <v>22</v>
      </c>
      <c r="P16" s="56"/>
      <c r="Q16" s="56"/>
      <c r="R16" s="57">
        <v>2</v>
      </c>
    </row>
    <row r="17" spans="1:18" x14ac:dyDescent="0.15">
      <c r="A17" s="38"/>
      <c r="B17" s="39">
        <v>1</v>
      </c>
      <c r="C17" s="58" t="s">
        <v>109</v>
      </c>
      <c r="D17" s="59" t="s">
        <v>110</v>
      </c>
      <c r="E17" s="191">
        <v>39766</v>
      </c>
      <c r="F17" s="59"/>
      <c r="G17" s="187"/>
      <c r="H17" s="190">
        <v>132</v>
      </c>
      <c r="I17" s="182">
        <v>33</v>
      </c>
      <c r="J17" s="62" t="s">
        <v>21</v>
      </c>
      <c r="K17" s="63"/>
      <c r="L17" s="63"/>
      <c r="M17" s="64"/>
      <c r="N17" s="65" t="s">
        <v>21</v>
      </c>
      <c r="O17" s="63"/>
      <c r="P17" s="63"/>
      <c r="Q17" s="63"/>
      <c r="R17" s="60"/>
    </row>
    <row r="18" spans="1:18" x14ac:dyDescent="0.15">
      <c r="A18" s="38"/>
      <c r="B18" s="39">
        <v>2</v>
      </c>
      <c r="C18" s="66" t="s">
        <v>111</v>
      </c>
      <c r="D18" s="67" t="s">
        <v>110</v>
      </c>
      <c r="E18" s="192">
        <v>39911</v>
      </c>
      <c r="F18" s="67"/>
      <c r="G18" s="188"/>
      <c r="H18" s="188">
        <v>140</v>
      </c>
      <c r="I18" s="69">
        <v>35</v>
      </c>
      <c r="J18" s="70" t="s">
        <v>20</v>
      </c>
      <c r="K18" s="71" t="s">
        <v>36</v>
      </c>
      <c r="L18" s="71"/>
      <c r="M18" s="72"/>
      <c r="N18" s="73" t="s">
        <v>20</v>
      </c>
      <c r="O18" s="71" t="s">
        <v>36</v>
      </c>
      <c r="P18" s="71"/>
      <c r="Q18" s="71"/>
      <c r="R18" s="68">
        <v>3</v>
      </c>
    </row>
    <row r="19" spans="1:18" x14ac:dyDescent="0.15">
      <c r="A19" s="38"/>
      <c r="B19" s="39">
        <v>3</v>
      </c>
      <c r="C19" s="74" t="s">
        <v>112</v>
      </c>
      <c r="D19" s="59" t="s">
        <v>110</v>
      </c>
      <c r="E19" s="191">
        <v>40003</v>
      </c>
      <c r="F19" s="59"/>
      <c r="G19" s="187"/>
      <c r="H19" s="187">
        <v>132</v>
      </c>
      <c r="I19" s="61">
        <v>26</v>
      </c>
      <c r="J19" s="75" t="s">
        <v>20</v>
      </c>
      <c r="K19" s="76" t="s">
        <v>36</v>
      </c>
      <c r="L19" s="76" t="s">
        <v>36</v>
      </c>
      <c r="M19" s="64"/>
      <c r="N19" s="77" t="s">
        <v>20</v>
      </c>
      <c r="O19" s="76" t="s">
        <v>38</v>
      </c>
      <c r="P19" s="76"/>
      <c r="Q19" s="76"/>
      <c r="R19" s="60">
        <v>1</v>
      </c>
    </row>
    <row r="20" spans="1:18" x14ac:dyDescent="0.15">
      <c r="A20" s="38"/>
      <c r="B20" s="39">
        <v>4</v>
      </c>
      <c r="C20" s="66" t="s">
        <v>113</v>
      </c>
      <c r="D20" s="67" t="s">
        <v>110</v>
      </c>
      <c r="E20" s="192">
        <v>39744</v>
      </c>
      <c r="F20" s="67"/>
      <c r="G20" s="188"/>
      <c r="H20" s="188">
        <v>131</v>
      </c>
      <c r="I20" s="69">
        <v>24</v>
      </c>
      <c r="J20" s="70" t="s">
        <v>20</v>
      </c>
      <c r="K20" s="71" t="s">
        <v>36</v>
      </c>
      <c r="L20" s="71" t="s">
        <v>36</v>
      </c>
      <c r="M20" s="72"/>
      <c r="N20" s="73" t="s">
        <v>21</v>
      </c>
      <c r="O20" s="71"/>
      <c r="P20" s="71"/>
      <c r="Q20" s="71"/>
      <c r="R20" s="68"/>
    </row>
    <row r="21" spans="1:18" x14ac:dyDescent="0.15">
      <c r="A21" s="38"/>
      <c r="B21" s="39">
        <v>5</v>
      </c>
      <c r="C21" s="74" t="s">
        <v>114</v>
      </c>
      <c r="D21" s="59" t="s">
        <v>110</v>
      </c>
      <c r="E21" s="191">
        <v>39599</v>
      </c>
      <c r="F21" s="59"/>
      <c r="G21" s="187"/>
      <c r="H21" s="187">
        <v>142</v>
      </c>
      <c r="I21" s="61">
        <v>37</v>
      </c>
      <c r="J21" s="75" t="s">
        <v>20</v>
      </c>
      <c r="K21" s="76" t="s">
        <v>36</v>
      </c>
      <c r="L21" s="76"/>
      <c r="M21" s="64"/>
      <c r="N21" s="77" t="s">
        <v>21</v>
      </c>
      <c r="O21" s="76"/>
      <c r="P21" s="76"/>
      <c r="Q21" s="76"/>
      <c r="R21" s="60"/>
    </row>
    <row r="22" spans="1:18" x14ac:dyDescent="0.15">
      <c r="A22" s="38"/>
      <c r="B22" s="39">
        <v>6</v>
      </c>
      <c r="C22" s="66" t="s">
        <v>115</v>
      </c>
      <c r="D22" s="67" t="s">
        <v>110</v>
      </c>
      <c r="E22" s="192">
        <v>39695</v>
      </c>
      <c r="F22" s="67"/>
      <c r="G22" s="188"/>
      <c r="H22" s="188">
        <v>140</v>
      </c>
      <c r="I22" s="69">
        <v>33</v>
      </c>
      <c r="J22" s="70" t="s">
        <v>20</v>
      </c>
      <c r="K22" s="71" t="s">
        <v>36</v>
      </c>
      <c r="L22" s="71" t="s">
        <v>36</v>
      </c>
      <c r="M22" s="72"/>
      <c r="N22" s="73" t="s">
        <v>21</v>
      </c>
      <c r="O22" s="71"/>
      <c r="P22" s="71"/>
      <c r="Q22" s="71"/>
      <c r="R22" s="68"/>
    </row>
    <row r="23" spans="1:18" ht="14.25" customHeight="1" x14ac:dyDescent="0.15">
      <c r="A23" s="38"/>
      <c r="B23" s="39">
        <v>7</v>
      </c>
      <c r="C23" s="78" t="s">
        <v>116</v>
      </c>
      <c r="D23" s="59" t="s">
        <v>110</v>
      </c>
      <c r="E23" s="191">
        <v>39260</v>
      </c>
      <c r="F23" s="59"/>
      <c r="G23" s="187"/>
      <c r="H23" s="187">
        <v>143</v>
      </c>
      <c r="I23" s="61">
        <v>30</v>
      </c>
      <c r="J23" s="79" t="s">
        <v>20</v>
      </c>
      <c r="K23" s="80" t="s">
        <v>36</v>
      </c>
      <c r="L23" s="80"/>
      <c r="M23" s="64"/>
      <c r="N23" s="77" t="s">
        <v>21</v>
      </c>
      <c r="O23" s="76"/>
      <c r="P23" s="76"/>
      <c r="Q23" s="76"/>
      <c r="R23" s="60"/>
    </row>
    <row r="24" spans="1:18" x14ac:dyDescent="0.15">
      <c r="A24" s="38"/>
      <c r="B24" s="39">
        <v>8</v>
      </c>
      <c r="C24" s="66" t="s">
        <v>117</v>
      </c>
      <c r="D24" s="67" t="s">
        <v>110</v>
      </c>
      <c r="E24" s="192">
        <v>39709</v>
      </c>
      <c r="F24" s="67"/>
      <c r="G24" s="188"/>
      <c r="H24" s="188">
        <v>140</v>
      </c>
      <c r="I24" s="69">
        <v>30</v>
      </c>
      <c r="J24" s="70" t="s">
        <v>21</v>
      </c>
      <c r="K24" s="71"/>
      <c r="L24" s="71"/>
      <c r="M24" s="72"/>
      <c r="N24" s="73" t="s">
        <v>21</v>
      </c>
      <c r="O24" s="71"/>
      <c r="P24" s="71"/>
      <c r="Q24" s="71"/>
      <c r="R24" s="68"/>
    </row>
    <row r="25" spans="1:18" x14ac:dyDescent="0.15">
      <c r="A25" s="38"/>
      <c r="B25" s="39">
        <v>9</v>
      </c>
      <c r="C25" s="74" t="s">
        <v>118</v>
      </c>
      <c r="D25" s="59" t="s">
        <v>110</v>
      </c>
      <c r="E25" s="191">
        <v>39615</v>
      </c>
      <c r="F25" s="59"/>
      <c r="G25" s="187"/>
      <c r="H25" s="187">
        <v>147</v>
      </c>
      <c r="I25" s="61">
        <v>57</v>
      </c>
      <c r="J25" s="75" t="s">
        <v>20</v>
      </c>
      <c r="K25" s="76" t="s">
        <v>36</v>
      </c>
      <c r="L25" s="76"/>
      <c r="M25" s="64"/>
      <c r="N25" s="77" t="s">
        <v>21</v>
      </c>
      <c r="O25" s="76"/>
      <c r="P25" s="76"/>
      <c r="Q25" s="76"/>
      <c r="R25" s="60"/>
    </row>
    <row r="26" spans="1:18" x14ac:dyDescent="0.15">
      <c r="A26" s="38"/>
      <c r="B26" s="39">
        <v>10</v>
      </c>
      <c r="C26" s="66" t="s">
        <v>119</v>
      </c>
      <c r="D26" s="67" t="s">
        <v>110</v>
      </c>
      <c r="E26" s="192">
        <v>39890</v>
      </c>
      <c r="F26" s="67"/>
      <c r="G26" s="188"/>
      <c r="H26" s="188">
        <v>145</v>
      </c>
      <c r="I26" s="69">
        <v>38</v>
      </c>
      <c r="J26" s="70" t="s">
        <v>21</v>
      </c>
      <c r="K26" s="71"/>
      <c r="L26" s="71"/>
      <c r="M26" s="72"/>
      <c r="N26" s="73" t="s">
        <v>20</v>
      </c>
      <c r="O26" s="71" t="s">
        <v>36</v>
      </c>
      <c r="P26" s="71"/>
      <c r="Q26" s="71"/>
      <c r="R26" s="68">
        <v>1</v>
      </c>
    </row>
    <row r="27" spans="1:18" ht="15" customHeight="1" x14ac:dyDescent="0.15">
      <c r="A27" s="38"/>
      <c r="B27" s="39">
        <v>11</v>
      </c>
      <c r="C27" s="74" t="s">
        <v>120</v>
      </c>
      <c r="D27" s="59" t="s">
        <v>81</v>
      </c>
      <c r="E27" s="191">
        <v>39965</v>
      </c>
      <c r="F27" s="59"/>
      <c r="G27" s="187"/>
      <c r="H27" s="187">
        <v>127</v>
      </c>
      <c r="I27" s="61">
        <v>19</v>
      </c>
      <c r="J27" s="75" t="s">
        <v>21</v>
      </c>
      <c r="K27" s="76"/>
      <c r="L27" s="76"/>
      <c r="M27" s="64"/>
      <c r="N27" s="77" t="s">
        <v>21</v>
      </c>
      <c r="O27" s="76"/>
      <c r="P27" s="76"/>
      <c r="Q27" s="76"/>
      <c r="R27" s="60"/>
    </row>
    <row r="28" spans="1:18" x14ac:dyDescent="0.15">
      <c r="A28" s="38"/>
      <c r="B28" s="39">
        <v>12</v>
      </c>
      <c r="C28" s="66" t="s">
        <v>121</v>
      </c>
      <c r="D28" s="67" t="s">
        <v>81</v>
      </c>
      <c r="E28" s="192">
        <v>39754</v>
      </c>
      <c r="F28" s="67"/>
      <c r="G28" s="188"/>
      <c r="H28" s="188">
        <v>137</v>
      </c>
      <c r="I28" s="69">
        <v>34</v>
      </c>
      <c r="J28" s="70" t="s">
        <v>20</v>
      </c>
      <c r="K28" s="71" t="s">
        <v>38</v>
      </c>
      <c r="L28" s="71"/>
      <c r="M28" s="72"/>
      <c r="N28" s="73" t="s">
        <v>20</v>
      </c>
      <c r="O28" s="71" t="s">
        <v>23</v>
      </c>
      <c r="P28" s="71"/>
      <c r="Q28" s="71"/>
      <c r="R28" s="68">
        <v>2</v>
      </c>
    </row>
    <row r="29" spans="1:18" x14ac:dyDescent="0.15">
      <c r="A29" s="38"/>
      <c r="B29" s="39">
        <v>13</v>
      </c>
      <c r="C29" s="74" t="s">
        <v>122</v>
      </c>
      <c r="D29" s="59" t="s">
        <v>81</v>
      </c>
      <c r="E29" s="191">
        <v>39956</v>
      </c>
      <c r="F29" s="59"/>
      <c r="G29" s="187"/>
      <c r="H29" s="187">
        <v>134</v>
      </c>
      <c r="I29" s="61">
        <v>27</v>
      </c>
      <c r="J29" s="75" t="s">
        <v>21</v>
      </c>
      <c r="K29" s="76"/>
      <c r="L29" s="76"/>
      <c r="M29" s="64"/>
      <c r="N29" s="77" t="s">
        <v>20</v>
      </c>
      <c r="O29" s="76" t="s">
        <v>23</v>
      </c>
      <c r="P29" s="76"/>
      <c r="Q29" s="76"/>
      <c r="R29" s="60">
        <v>1</v>
      </c>
    </row>
    <row r="30" spans="1:18" x14ac:dyDescent="0.15">
      <c r="A30" s="38"/>
      <c r="B30" s="39">
        <v>14</v>
      </c>
      <c r="C30" s="66" t="s">
        <v>123</v>
      </c>
      <c r="D30" s="67" t="s">
        <v>81</v>
      </c>
      <c r="E30" s="192">
        <v>40020</v>
      </c>
      <c r="F30" s="67"/>
      <c r="G30" s="188"/>
      <c r="H30" s="188">
        <v>132</v>
      </c>
      <c r="I30" s="69">
        <v>27</v>
      </c>
      <c r="J30" s="70" t="s">
        <v>21</v>
      </c>
      <c r="K30" s="71"/>
      <c r="L30" s="71"/>
      <c r="M30" s="72"/>
      <c r="N30" s="73" t="s">
        <v>20</v>
      </c>
      <c r="O30" s="71" t="s">
        <v>38</v>
      </c>
      <c r="P30" s="71"/>
      <c r="Q30" s="71"/>
      <c r="R30" s="68">
        <v>1</v>
      </c>
    </row>
    <row r="31" spans="1:18" x14ac:dyDescent="0.15">
      <c r="A31" s="38"/>
      <c r="B31" s="39">
        <v>15</v>
      </c>
      <c r="C31" s="74" t="s">
        <v>124</v>
      </c>
      <c r="D31" s="59" t="s">
        <v>81</v>
      </c>
      <c r="E31" s="191">
        <v>39448</v>
      </c>
      <c r="F31" s="59"/>
      <c r="G31" s="187"/>
      <c r="H31" s="187">
        <v>145</v>
      </c>
      <c r="I31" s="61">
        <v>37</v>
      </c>
      <c r="J31" s="75" t="s">
        <v>20</v>
      </c>
      <c r="K31" s="76" t="s">
        <v>38</v>
      </c>
      <c r="L31" s="76"/>
      <c r="M31" s="64"/>
      <c r="N31" s="77" t="s">
        <v>21</v>
      </c>
      <c r="O31" s="76"/>
      <c r="P31" s="76"/>
      <c r="Q31" s="76"/>
      <c r="R31" s="60"/>
    </row>
    <row r="32" spans="1:18" x14ac:dyDescent="0.15">
      <c r="A32" s="38"/>
      <c r="B32" s="39">
        <v>16</v>
      </c>
      <c r="C32" s="66" t="s">
        <v>125</v>
      </c>
      <c r="D32" s="67" t="s">
        <v>81</v>
      </c>
      <c r="E32" s="192">
        <v>39631</v>
      </c>
      <c r="F32" s="67"/>
      <c r="G32" s="188"/>
      <c r="H32" s="188">
        <v>140</v>
      </c>
      <c r="I32" s="69">
        <v>31</v>
      </c>
      <c r="J32" s="70" t="s">
        <v>21</v>
      </c>
      <c r="K32" s="71"/>
      <c r="L32" s="71"/>
      <c r="M32" s="72"/>
      <c r="N32" s="73" t="s">
        <v>20</v>
      </c>
      <c r="O32" s="71" t="s">
        <v>23</v>
      </c>
      <c r="P32" s="71"/>
      <c r="Q32" s="71"/>
      <c r="R32" s="68">
        <v>1</v>
      </c>
    </row>
    <row r="33" spans="1:18" x14ac:dyDescent="0.15">
      <c r="A33" s="38"/>
      <c r="B33" s="39">
        <v>17</v>
      </c>
      <c r="C33" s="74" t="s">
        <v>126</v>
      </c>
      <c r="D33" s="59" t="s">
        <v>81</v>
      </c>
      <c r="E33" s="191">
        <v>39714</v>
      </c>
      <c r="F33" s="59"/>
      <c r="G33" s="187"/>
      <c r="H33" s="187">
        <v>148</v>
      </c>
      <c r="I33" s="61">
        <v>42</v>
      </c>
      <c r="J33" s="75" t="s">
        <v>20</v>
      </c>
      <c r="K33" s="76" t="s">
        <v>36</v>
      </c>
      <c r="L33" s="76" t="s">
        <v>38</v>
      </c>
      <c r="M33" s="64"/>
      <c r="N33" s="77" t="s">
        <v>21</v>
      </c>
      <c r="O33" s="76"/>
      <c r="P33" s="76"/>
      <c r="Q33" s="76"/>
      <c r="R33" s="60"/>
    </row>
    <row r="34" spans="1:18" x14ac:dyDescent="0.15">
      <c r="A34" s="38"/>
      <c r="B34" s="39">
        <v>18</v>
      </c>
      <c r="C34" s="66" t="s">
        <v>127</v>
      </c>
      <c r="D34" s="67" t="s">
        <v>81</v>
      </c>
      <c r="E34" s="192">
        <v>39983</v>
      </c>
      <c r="F34" s="67"/>
      <c r="G34" s="188"/>
      <c r="H34" s="188">
        <v>142</v>
      </c>
      <c r="I34" s="69">
        <v>38</v>
      </c>
      <c r="J34" s="70" t="s">
        <v>21</v>
      </c>
      <c r="K34" s="71"/>
      <c r="L34" s="71"/>
      <c r="M34" s="72"/>
      <c r="N34" s="73" t="s">
        <v>20</v>
      </c>
      <c r="O34" s="71" t="s">
        <v>23</v>
      </c>
      <c r="P34" s="71" t="s">
        <v>38</v>
      </c>
      <c r="Q34" s="71"/>
      <c r="R34" s="68">
        <v>3</v>
      </c>
    </row>
    <row r="35" spans="1:18" x14ac:dyDescent="0.15">
      <c r="A35" s="38"/>
      <c r="B35" s="39">
        <v>19</v>
      </c>
      <c r="C35" s="74" t="s">
        <v>128</v>
      </c>
      <c r="D35" s="59" t="s">
        <v>81</v>
      </c>
      <c r="E35" s="191">
        <v>39888</v>
      </c>
      <c r="F35" s="59"/>
      <c r="G35" s="187"/>
      <c r="H35" s="187">
        <v>136</v>
      </c>
      <c r="I35" s="61">
        <v>30</v>
      </c>
      <c r="J35" s="75" t="s">
        <v>21</v>
      </c>
      <c r="K35" s="76"/>
      <c r="L35" s="76"/>
      <c r="M35" s="64"/>
      <c r="N35" s="77" t="s">
        <v>21</v>
      </c>
      <c r="O35" s="76"/>
      <c r="P35" s="76"/>
      <c r="Q35" s="76"/>
      <c r="R35" s="60"/>
    </row>
    <row r="36" spans="1:18" x14ac:dyDescent="0.15">
      <c r="A36" s="38"/>
      <c r="B36" s="39">
        <v>20</v>
      </c>
      <c r="C36" s="66" t="s">
        <v>129</v>
      </c>
      <c r="D36" s="67" t="s">
        <v>81</v>
      </c>
      <c r="E36" s="192">
        <v>39920</v>
      </c>
      <c r="F36" s="67"/>
      <c r="G36" s="188"/>
      <c r="H36" s="188">
        <v>140</v>
      </c>
      <c r="I36" s="69">
        <v>35</v>
      </c>
      <c r="J36" s="70" t="s">
        <v>21</v>
      </c>
      <c r="K36" s="71"/>
      <c r="L36" s="71"/>
      <c r="M36" s="72"/>
      <c r="N36" s="73" t="s">
        <v>20</v>
      </c>
      <c r="O36" s="71" t="s">
        <v>38</v>
      </c>
      <c r="P36" s="71"/>
      <c r="Q36" s="71"/>
      <c r="R36" s="68">
        <v>1</v>
      </c>
    </row>
    <row r="37" spans="1:18" x14ac:dyDescent="0.15">
      <c r="A37" s="38"/>
      <c r="B37" s="39">
        <v>21</v>
      </c>
      <c r="C37" s="74" t="s">
        <v>130</v>
      </c>
      <c r="D37" s="59" t="s">
        <v>81</v>
      </c>
      <c r="E37" s="191">
        <v>39957</v>
      </c>
      <c r="F37" s="59"/>
      <c r="G37" s="187"/>
      <c r="H37" s="187">
        <v>143</v>
      </c>
      <c r="I37" s="61">
        <v>31</v>
      </c>
      <c r="J37" s="75" t="s">
        <v>21</v>
      </c>
      <c r="K37" s="76"/>
      <c r="L37" s="76"/>
      <c r="M37" s="64"/>
      <c r="N37" s="77" t="s">
        <v>20</v>
      </c>
      <c r="O37" s="76" t="s">
        <v>23</v>
      </c>
      <c r="P37" s="76"/>
      <c r="Q37" s="76"/>
      <c r="R37" s="60">
        <v>2</v>
      </c>
    </row>
    <row r="38" spans="1:18" x14ac:dyDescent="0.15">
      <c r="A38" s="38"/>
      <c r="B38" s="39">
        <v>22</v>
      </c>
      <c r="C38" s="66" t="s">
        <v>131</v>
      </c>
      <c r="D38" s="67" t="s">
        <v>81</v>
      </c>
      <c r="E38" s="192">
        <v>40001</v>
      </c>
      <c r="F38" s="67"/>
      <c r="G38" s="188"/>
      <c r="H38" s="188">
        <v>134</v>
      </c>
      <c r="I38" s="69">
        <v>37</v>
      </c>
      <c r="J38" s="70" t="s">
        <v>20</v>
      </c>
      <c r="K38" s="71" t="s">
        <v>38</v>
      </c>
      <c r="L38" s="71"/>
      <c r="M38" s="72"/>
      <c r="N38" s="73" t="s">
        <v>21</v>
      </c>
      <c r="O38" s="71"/>
      <c r="P38" s="71"/>
      <c r="Q38" s="71"/>
      <c r="R38" s="68"/>
    </row>
    <row r="39" spans="1:18" x14ac:dyDescent="0.15">
      <c r="A39" s="38"/>
      <c r="B39" s="39">
        <v>23</v>
      </c>
      <c r="C39" s="74"/>
      <c r="D39" s="59"/>
      <c r="E39" s="60"/>
      <c r="F39" s="59"/>
      <c r="G39" s="187"/>
      <c r="H39" s="187"/>
      <c r="I39" s="61"/>
      <c r="J39" s="75" t="s">
        <v>21</v>
      </c>
      <c r="K39" s="76"/>
      <c r="L39" s="76"/>
      <c r="M39" s="64"/>
      <c r="N39" s="77" t="s">
        <v>21</v>
      </c>
      <c r="O39" s="76"/>
      <c r="P39" s="76"/>
      <c r="Q39" s="76"/>
      <c r="R39" s="60"/>
    </row>
    <row r="40" spans="1:18" x14ac:dyDescent="0.15">
      <c r="A40" s="38"/>
      <c r="B40" s="39">
        <v>24</v>
      </c>
      <c r="C40" s="66"/>
      <c r="D40" s="67"/>
      <c r="E40" s="68"/>
      <c r="F40" s="67"/>
      <c r="G40" s="188"/>
      <c r="H40" s="188"/>
      <c r="I40" s="69"/>
      <c r="J40" s="70" t="s">
        <v>21</v>
      </c>
      <c r="K40" s="71"/>
      <c r="L40" s="71"/>
      <c r="M40" s="72"/>
      <c r="N40" s="73" t="s">
        <v>21</v>
      </c>
      <c r="O40" s="71"/>
      <c r="P40" s="71"/>
      <c r="Q40" s="71"/>
      <c r="R40" s="68"/>
    </row>
    <row r="41" spans="1:18" x14ac:dyDescent="0.15">
      <c r="A41" s="38"/>
      <c r="B41" s="39">
        <v>25</v>
      </c>
      <c r="C41" s="74"/>
      <c r="D41" s="59"/>
      <c r="E41" s="60"/>
      <c r="F41" s="59"/>
      <c r="G41" s="187"/>
      <c r="H41" s="187"/>
      <c r="I41" s="61"/>
      <c r="J41" s="75" t="s">
        <v>21</v>
      </c>
      <c r="K41" s="76"/>
      <c r="L41" s="76"/>
      <c r="M41" s="64"/>
      <c r="N41" s="77" t="s">
        <v>21</v>
      </c>
      <c r="O41" s="76"/>
      <c r="P41" s="76"/>
      <c r="Q41" s="76"/>
      <c r="R41" s="60"/>
    </row>
    <row r="42" spans="1:18" x14ac:dyDescent="0.15">
      <c r="A42" s="38"/>
      <c r="B42" s="39">
        <v>26</v>
      </c>
      <c r="C42" s="66"/>
      <c r="D42" s="67"/>
      <c r="E42" s="68"/>
      <c r="F42" s="67"/>
      <c r="G42" s="188"/>
      <c r="H42" s="188"/>
      <c r="I42" s="69"/>
      <c r="J42" s="70" t="s">
        <v>21</v>
      </c>
      <c r="K42" s="71"/>
      <c r="L42" s="71"/>
      <c r="M42" s="72"/>
      <c r="N42" s="73" t="s">
        <v>21</v>
      </c>
      <c r="O42" s="71"/>
      <c r="P42" s="71"/>
      <c r="Q42" s="71"/>
      <c r="R42" s="68"/>
    </row>
    <row r="43" spans="1:18" x14ac:dyDescent="0.15">
      <c r="A43" s="38"/>
      <c r="B43" s="39">
        <v>27</v>
      </c>
      <c r="C43" s="74"/>
      <c r="D43" s="59"/>
      <c r="E43" s="60"/>
      <c r="F43" s="59"/>
      <c r="G43" s="187"/>
      <c r="H43" s="187"/>
      <c r="I43" s="61"/>
      <c r="J43" s="75" t="s">
        <v>21</v>
      </c>
      <c r="K43" s="76"/>
      <c r="L43" s="76"/>
      <c r="M43" s="64"/>
      <c r="N43" s="77" t="s">
        <v>21</v>
      </c>
      <c r="O43" s="76"/>
      <c r="P43" s="76"/>
      <c r="Q43" s="76"/>
      <c r="R43" s="60"/>
    </row>
    <row r="44" spans="1:18" x14ac:dyDescent="0.15">
      <c r="A44" s="38"/>
      <c r="B44" s="39">
        <v>28</v>
      </c>
      <c r="C44" s="66"/>
      <c r="D44" s="67"/>
      <c r="E44" s="68"/>
      <c r="F44" s="67"/>
      <c r="G44" s="188"/>
      <c r="H44" s="188"/>
      <c r="I44" s="69"/>
      <c r="J44" s="70" t="s">
        <v>21</v>
      </c>
      <c r="K44" s="71"/>
      <c r="L44" s="71"/>
      <c r="M44" s="72"/>
      <c r="N44" s="73" t="s">
        <v>21</v>
      </c>
      <c r="O44" s="71"/>
      <c r="P44" s="71"/>
      <c r="Q44" s="71"/>
      <c r="R44" s="68"/>
    </row>
    <row r="45" spans="1:18" x14ac:dyDescent="0.15">
      <c r="A45" s="38"/>
      <c r="B45" s="39">
        <v>29</v>
      </c>
      <c r="C45" s="74"/>
      <c r="D45" s="59"/>
      <c r="E45" s="60"/>
      <c r="F45" s="59"/>
      <c r="G45" s="187"/>
      <c r="H45" s="187"/>
      <c r="I45" s="61"/>
      <c r="J45" s="75" t="s">
        <v>21</v>
      </c>
      <c r="K45" s="76"/>
      <c r="L45" s="76"/>
      <c r="M45" s="64"/>
      <c r="N45" s="77" t="s">
        <v>21</v>
      </c>
      <c r="O45" s="76"/>
      <c r="P45" s="76"/>
      <c r="Q45" s="76"/>
      <c r="R45" s="60"/>
    </row>
    <row r="46" spans="1:18" x14ac:dyDescent="0.15">
      <c r="A46" s="38"/>
      <c r="B46" s="39">
        <v>30</v>
      </c>
      <c r="C46" s="66"/>
      <c r="D46" s="67"/>
      <c r="E46" s="68"/>
      <c r="F46" s="67"/>
      <c r="G46" s="188"/>
      <c r="H46" s="188"/>
      <c r="I46" s="69"/>
      <c r="J46" s="70" t="s">
        <v>21</v>
      </c>
      <c r="K46" s="71"/>
      <c r="L46" s="71"/>
      <c r="M46" s="72"/>
      <c r="N46" s="73" t="s">
        <v>21</v>
      </c>
      <c r="O46" s="71"/>
      <c r="P46" s="71"/>
      <c r="Q46" s="71"/>
      <c r="R46" s="68"/>
    </row>
    <row r="47" spans="1:18" x14ac:dyDescent="0.15">
      <c r="A47" s="38"/>
      <c r="B47" s="39">
        <v>31</v>
      </c>
      <c r="C47" s="74"/>
      <c r="D47" s="59"/>
      <c r="E47" s="60"/>
      <c r="F47" s="59"/>
      <c r="G47" s="187"/>
      <c r="H47" s="187"/>
      <c r="I47" s="61"/>
      <c r="J47" s="75" t="s">
        <v>21</v>
      </c>
      <c r="K47" s="76"/>
      <c r="L47" s="76"/>
      <c r="M47" s="64"/>
      <c r="N47" s="77" t="s">
        <v>21</v>
      </c>
      <c r="O47" s="76"/>
      <c r="P47" s="76"/>
      <c r="Q47" s="76"/>
      <c r="R47" s="60"/>
    </row>
    <row r="48" spans="1:18" x14ac:dyDescent="0.15">
      <c r="A48" s="38"/>
      <c r="B48" s="39">
        <v>32</v>
      </c>
      <c r="C48" s="66"/>
      <c r="D48" s="67"/>
      <c r="E48" s="68"/>
      <c r="F48" s="67"/>
      <c r="G48" s="188"/>
      <c r="H48" s="188"/>
      <c r="I48" s="69"/>
      <c r="J48" s="70" t="s">
        <v>21</v>
      </c>
      <c r="K48" s="71"/>
      <c r="L48" s="71"/>
      <c r="M48" s="72"/>
      <c r="N48" s="73" t="s">
        <v>21</v>
      </c>
      <c r="O48" s="71"/>
      <c r="P48" s="71"/>
      <c r="Q48" s="71"/>
      <c r="R48" s="68"/>
    </row>
    <row r="49" spans="1:18" x14ac:dyDescent="0.15">
      <c r="A49" s="38"/>
      <c r="B49" s="39">
        <v>33</v>
      </c>
      <c r="C49" s="74"/>
      <c r="D49" s="59"/>
      <c r="E49" s="60"/>
      <c r="F49" s="59"/>
      <c r="G49" s="187"/>
      <c r="H49" s="187"/>
      <c r="I49" s="61"/>
      <c r="J49" s="75" t="s">
        <v>21</v>
      </c>
      <c r="K49" s="76"/>
      <c r="L49" s="76"/>
      <c r="M49" s="64"/>
      <c r="N49" s="77" t="s">
        <v>21</v>
      </c>
      <c r="O49" s="76"/>
      <c r="P49" s="76"/>
      <c r="Q49" s="76"/>
      <c r="R49" s="60"/>
    </row>
    <row r="50" spans="1:18" x14ac:dyDescent="0.15">
      <c r="A50" s="38"/>
      <c r="B50" s="39">
        <v>34</v>
      </c>
      <c r="C50" s="66"/>
      <c r="D50" s="67"/>
      <c r="E50" s="68"/>
      <c r="F50" s="67"/>
      <c r="G50" s="188"/>
      <c r="H50" s="188"/>
      <c r="I50" s="69"/>
      <c r="J50" s="70" t="s">
        <v>21</v>
      </c>
      <c r="K50" s="71"/>
      <c r="L50" s="71"/>
      <c r="M50" s="72"/>
      <c r="N50" s="73" t="s">
        <v>21</v>
      </c>
      <c r="O50" s="71"/>
      <c r="P50" s="71"/>
      <c r="Q50" s="71"/>
      <c r="R50" s="68"/>
    </row>
    <row r="51" spans="1:18" x14ac:dyDescent="0.15">
      <c r="A51" s="38"/>
      <c r="B51" s="39">
        <v>35</v>
      </c>
      <c r="C51" s="74"/>
      <c r="D51" s="59"/>
      <c r="E51" s="60"/>
      <c r="F51" s="59"/>
      <c r="G51" s="187"/>
      <c r="H51" s="187"/>
      <c r="I51" s="61"/>
      <c r="J51" s="75" t="s">
        <v>21</v>
      </c>
      <c r="K51" s="76"/>
      <c r="L51" s="76"/>
      <c r="M51" s="64"/>
      <c r="N51" s="77" t="s">
        <v>21</v>
      </c>
      <c r="O51" s="76"/>
      <c r="P51" s="76"/>
      <c r="Q51" s="76"/>
      <c r="R51" s="60"/>
    </row>
    <row r="52" spans="1:18" x14ac:dyDescent="0.15">
      <c r="A52" s="38"/>
      <c r="B52" s="39">
        <v>36</v>
      </c>
      <c r="C52" s="66"/>
      <c r="D52" s="67"/>
      <c r="E52" s="68"/>
      <c r="F52" s="67"/>
      <c r="G52" s="188"/>
      <c r="H52" s="188"/>
      <c r="I52" s="69"/>
      <c r="J52" s="70" t="s">
        <v>21</v>
      </c>
      <c r="K52" s="71"/>
      <c r="L52" s="71"/>
      <c r="M52" s="72"/>
      <c r="N52" s="73" t="s">
        <v>21</v>
      </c>
      <c r="O52" s="71"/>
      <c r="P52" s="71"/>
      <c r="Q52" s="71"/>
      <c r="R52" s="68"/>
    </row>
    <row r="53" spans="1:18" x14ac:dyDescent="0.15">
      <c r="A53" s="38"/>
      <c r="B53" s="39">
        <v>37</v>
      </c>
      <c r="C53" s="74"/>
      <c r="D53" s="59"/>
      <c r="E53" s="60"/>
      <c r="F53" s="59"/>
      <c r="G53" s="187"/>
      <c r="H53" s="187"/>
      <c r="I53" s="61"/>
      <c r="J53" s="75" t="s">
        <v>21</v>
      </c>
      <c r="K53" s="76"/>
      <c r="L53" s="76"/>
      <c r="M53" s="64"/>
      <c r="N53" s="77" t="s">
        <v>21</v>
      </c>
      <c r="O53" s="76"/>
      <c r="P53" s="76"/>
      <c r="Q53" s="76"/>
      <c r="R53" s="60"/>
    </row>
    <row r="54" spans="1:18" x14ac:dyDescent="0.15">
      <c r="A54" s="38"/>
      <c r="B54" s="39">
        <v>38</v>
      </c>
      <c r="C54" s="66"/>
      <c r="D54" s="67"/>
      <c r="E54" s="68"/>
      <c r="F54" s="67"/>
      <c r="G54" s="188"/>
      <c r="H54" s="188"/>
      <c r="I54" s="69"/>
      <c r="J54" s="70" t="s">
        <v>21</v>
      </c>
      <c r="K54" s="71"/>
      <c r="L54" s="71"/>
      <c r="M54" s="72"/>
      <c r="N54" s="73" t="s">
        <v>21</v>
      </c>
      <c r="O54" s="71"/>
      <c r="P54" s="71"/>
      <c r="Q54" s="71"/>
      <c r="R54" s="68"/>
    </row>
    <row r="55" spans="1:18" x14ac:dyDescent="0.15">
      <c r="A55" s="38"/>
      <c r="B55" s="39">
        <v>39</v>
      </c>
      <c r="C55" s="74"/>
      <c r="D55" s="59"/>
      <c r="E55" s="60"/>
      <c r="F55" s="59"/>
      <c r="G55" s="187"/>
      <c r="H55" s="187"/>
      <c r="I55" s="61"/>
      <c r="J55" s="75" t="s">
        <v>21</v>
      </c>
      <c r="K55" s="76"/>
      <c r="L55" s="76"/>
      <c r="M55" s="64"/>
      <c r="N55" s="77" t="s">
        <v>21</v>
      </c>
      <c r="O55" s="76"/>
      <c r="P55" s="76"/>
      <c r="Q55" s="76"/>
      <c r="R55" s="60"/>
    </row>
    <row r="56" spans="1:18" x14ac:dyDescent="0.15">
      <c r="A56" s="38"/>
      <c r="B56" s="39">
        <v>40</v>
      </c>
      <c r="C56" s="66"/>
      <c r="D56" s="67"/>
      <c r="E56" s="68"/>
      <c r="F56" s="67"/>
      <c r="G56" s="188"/>
      <c r="H56" s="188"/>
      <c r="I56" s="69"/>
      <c r="J56" s="70" t="s">
        <v>21</v>
      </c>
      <c r="K56" s="71"/>
      <c r="L56" s="71"/>
      <c r="M56" s="72"/>
      <c r="N56" s="73" t="s">
        <v>21</v>
      </c>
      <c r="O56" s="71"/>
      <c r="P56" s="71"/>
      <c r="Q56" s="71"/>
      <c r="R56" s="68"/>
    </row>
    <row r="57" spans="1:18" x14ac:dyDescent="0.15">
      <c r="A57" s="38"/>
      <c r="B57" s="39">
        <v>41</v>
      </c>
      <c r="C57" s="74"/>
      <c r="D57" s="59"/>
      <c r="E57" s="60"/>
      <c r="F57" s="59"/>
      <c r="G57" s="187"/>
      <c r="H57" s="187"/>
      <c r="I57" s="61"/>
      <c r="J57" s="75" t="s">
        <v>21</v>
      </c>
      <c r="K57" s="76"/>
      <c r="L57" s="76"/>
      <c r="M57" s="64"/>
      <c r="N57" s="77" t="s">
        <v>21</v>
      </c>
      <c r="O57" s="76"/>
      <c r="P57" s="76"/>
      <c r="Q57" s="76"/>
      <c r="R57" s="60"/>
    </row>
    <row r="58" spans="1:18" x14ac:dyDescent="0.15">
      <c r="A58" s="38"/>
      <c r="B58" s="39">
        <v>42</v>
      </c>
      <c r="C58" s="66"/>
      <c r="D58" s="67"/>
      <c r="E58" s="68"/>
      <c r="F58" s="67"/>
      <c r="G58" s="188"/>
      <c r="H58" s="188"/>
      <c r="I58" s="69"/>
      <c r="J58" s="70" t="s">
        <v>21</v>
      </c>
      <c r="K58" s="71"/>
      <c r="L58" s="71"/>
      <c r="M58" s="72"/>
      <c r="N58" s="73" t="s">
        <v>21</v>
      </c>
      <c r="O58" s="71"/>
      <c r="P58" s="71"/>
      <c r="Q58" s="71"/>
      <c r="R58" s="68"/>
    </row>
    <row r="59" spans="1:18" x14ac:dyDescent="0.15">
      <c r="A59" s="38"/>
      <c r="B59" s="39">
        <v>43</v>
      </c>
      <c r="C59" s="74"/>
      <c r="D59" s="59"/>
      <c r="E59" s="60"/>
      <c r="F59" s="59"/>
      <c r="G59" s="187"/>
      <c r="H59" s="187"/>
      <c r="I59" s="61"/>
      <c r="J59" s="75" t="s">
        <v>21</v>
      </c>
      <c r="K59" s="76"/>
      <c r="L59" s="76"/>
      <c r="M59" s="64"/>
      <c r="N59" s="77" t="s">
        <v>21</v>
      </c>
      <c r="O59" s="76"/>
      <c r="P59" s="76"/>
      <c r="Q59" s="76"/>
      <c r="R59" s="60"/>
    </row>
    <row r="60" spans="1:18" x14ac:dyDescent="0.15">
      <c r="A60" s="38"/>
      <c r="B60" s="39">
        <v>44</v>
      </c>
      <c r="C60" s="66"/>
      <c r="D60" s="67"/>
      <c r="E60" s="68"/>
      <c r="F60" s="67"/>
      <c r="G60" s="188"/>
      <c r="H60" s="188"/>
      <c r="I60" s="69"/>
      <c r="J60" s="70" t="s">
        <v>21</v>
      </c>
      <c r="K60" s="71"/>
      <c r="L60" s="71"/>
      <c r="M60" s="72"/>
      <c r="N60" s="73" t="s">
        <v>21</v>
      </c>
      <c r="O60" s="71"/>
      <c r="P60" s="71"/>
      <c r="Q60" s="71"/>
      <c r="R60" s="68"/>
    </row>
    <row r="61" spans="1:18" x14ac:dyDescent="0.15">
      <c r="A61" s="38"/>
      <c r="B61" s="39">
        <v>45</v>
      </c>
      <c r="C61" s="74"/>
      <c r="D61" s="59"/>
      <c r="E61" s="60"/>
      <c r="F61" s="59"/>
      <c r="G61" s="187"/>
      <c r="H61" s="187"/>
      <c r="I61" s="61"/>
      <c r="J61" s="75" t="s">
        <v>21</v>
      </c>
      <c r="K61" s="76"/>
      <c r="L61" s="76"/>
      <c r="M61" s="64"/>
      <c r="N61" s="77" t="s">
        <v>21</v>
      </c>
      <c r="O61" s="76"/>
      <c r="P61" s="76"/>
      <c r="Q61" s="76"/>
      <c r="R61" s="60"/>
    </row>
    <row r="62" spans="1:18" x14ac:dyDescent="0.15">
      <c r="A62" s="38"/>
      <c r="B62" s="39">
        <v>46</v>
      </c>
      <c r="C62" s="66"/>
      <c r="D62" s="67"/>
      <c r="E62" s="68"/>
      <c r="F62" s="67"/>
      <c r="G62" s="188"/>
      <c r="H62" s="188"/>
      <c r="I62" s="69"/>
      <c r="J62" s="70" t="s">
        <v>21</v>
      </c>
      <c r="K62" s="71"/>
      <c r="L62" s="71"/>
      <c r="M62" s="72"/>
      <c r="N62" s="73" t="s">
        <v>21</v>
      </c>
      <c r="O62" s="71"/>
      <c r="P62" s="71"/>
      <c r="Q62" s="71"/>
      <c r="R62" s="68"/>
    </row>
    <row r="63" spans="1:18" x14ac:dyDescent="0.15">
      <c r="A63" s="38"/>
      <c r="B63" s="39">
        <v>47</v>
      </c>
      <c r="C63" s="74"/>
      <c r="D63" s="59"/>
      <c r="E63" s="60"/>
      <c r="F63" s="59"/>
      <c r="G63" s="187"/>
      <c r="H63" s="187"/>
      <c r="I63" s="61"/>
      <c r="J63" s="75" t="s">
        <v>21</v>
      </c>
      <c r="K63" s="76"/>
      <c r="L63" s="76"/>
      <c r="M63" s="64"/>
      <c r="N63" s="77" t="s">
        <v>21</v>
      </c>
      <c r="O63" s="76"/>
      <c r="P63" s="76"/>
      <c r="Q63" s="76"/>
      <c r="R63" s="60"/>
    </row>
    <row r="64" spans="1:18" x14ac:dyDescent="0.15">
      <c r="A64" s="38"/>
      <c r="B64" s="39">
        <v>48</v>
      </c>
      <c r="C64" s="66"/>
      <c r="D64" s="67"/>
      <c r="E64" s="68"/>
      <c r="F64" s="67"/>
      <c r="G64" s="188"/>
      <c r="H64" s="188"/>
      <c r="I64" s="69"/>
      <c r="J64" s="70" t="s">
        <v>21</v>
      </c>
      <c r="K64" s="71"/>
      <c r="L64" s="71"/>
      <c r="M64" s="72"/>
      <c r="N64" s="73" t="s">
        <v>21</v>
      </c>
      <c r="O64" s="71"/>
      <c r="P64" s="71"/>
      <c r="Q64" s="71"/>
      <c r="R64" s="68"/>
    </row>
    <row r="65" spans="1:18" x14ac:dyDescent="0.15">
      <c r="A65" s="38"/>
      <c r="B65" s="39">
        <v>49</v>
      </c>
      <c r="C65" s="74"/>
      <c r="D65" s="59"/>
      <c r="E65" s="60"/>
      <c r="F65" s="59"/>
      <c r="G65" s="187"/>
      <c r="H65" s="187"/>
      <c r="I65" s="61"/>
      <c r="J65" s="75" t="s">
        <v>21</v>
      </c>
      <c r="K65" s="76"/>
      <c r="L65" s="76"/>
      <c r="M65" s="64"/>
      <c r="N65" s="77" t="s">
        <v>21</v>
      </c>
      <c r="O65" s="76"/>
      <c r="P65" s="76"/>
      <c r="Q65" s="76"/>
      <c r="R65" s="60"/>
    </row>
    <row r="66" spans="1:18" x14ac:dyDescent="0.15">
      <c r="A66" s="38"/>
      <c r="B66" s="39">
        <v>50</v>
      </c>
      <c r="C66" s="66"/>
      <c r="D66" s="67"/>
      <c r="E66" s="68"/>
      <c r="F66" s="67"/>
      <c r="G66" s="188"/>
      <c r="H66" s="188"/>
      <c r="I66" s="69"/>
      <c r="J66" s="70" t="s">
        <v>21</v>
      </c>
      <c r="K66" s="71"/>
      <c r="L66" s="71"/>
      <c r="M66" s="72"/>
      <c r="N66" s="73" t="s">
        <v>21</v>
      </c>
      <c r="O66" s="71"/>
      <c r="P66" s="71"/>
      <c r="Q66" s="71"/>
      <c r="R66" s="68"/>
    </row>
    <row r="67" spans="1:18" x14ac:dyDescent="0.15">
      <c r="A67" s="38"/>
      <c r="B67" s="39">
        <v>51</v>
      </c>
      <c r="C67" s="74"/>
      <c r="D67" s="59"/>
      <c r="E67" s="60"/>
      <c r="F67" s="59"/>
      <c r="G67" s="187"/>
      <c r="H67" s="187"/>
      <c r="I67" s="61"/>
      <c r="J67" s="75" t="s">
        <v>21</v>
      </c>
      <c r="K67" s="76"/>
      <c r="L67" s="76"/>
      <c r="M67" s="64"/>
      <c r="N67" s="77" t="s">
        <v>21</v>
      </c>
      <c r="O67" s="76"/>
      <c r="P67" s="76"/>
      <c r="Q67" s="76"/>
      <c r="R67" s="60"/>
    </row>
    <row r="68" spans="1:18" x14ac:dyDescent="0.15">
      <c r="A68" s="38"/>
      <c r="B68" s="39">
        <v>52</v>
      </c>
      <c r="C68" s="66"/>
      <c r="D68" s="67"/>
      <c r="E68" s="68"/>
      <c r="F68" s="67"/>
      <c r="G68" s="188"/>
      <c r="H68" s="188"/>
      <c r="I68" s="69"/>
      <c r="J68" s="70" t="s">
        <v>21</v>
      </c>
      <c r="K68" s="71"/>
      <c r="L68" s="71"/>
      <c r="M68" s="72"/>
      <c r="N68" s="73" t="s">
        <v>21</v>
      </c>
      <c r="O68" s="71"/>
      <c r="P68" s="71"/>
      <c r="Q68" s="71"/>
      <c r="R68" s="68"/>
    </row>
    <row r="69" spans="1:18" x14ac:dyDescent="0.15">
      <c r="A69" s="38"/>
      <c r="B69" s="39">
        <v>53</v>
      </c>
      <c r="C69" s="74"/>
      <c r="D69" s="59"/>
      <c r="E69" s="60"/>
      <c r="F69" s="59"/>
      <c r="G69" s="187"/>
      <c r="H69" s="187"/>
      <c r="I69" s="61"/>
      <c r="J69" s="75" t="s">
        <v>21</v>
      </c>
      <c r="K69" s="76"/>
      <c r="L69" s="76"/>
      <c r="M69" s="64"/>
      <c r="N69" s="77" t="s">
        <v>21</v>
      </c>
      <c r="O69" s="76"/>
      <c r="P69" s="76"/>
      <c r="Q69" s="76"/>
      <c r="R69" s="60"/>
    </row>
    <row r="70" spans="1:18" x14ac:dyDescent="0.15">
      <c r="A70" s="38"/>
      <c r="B70" s="39">
        <v>54</v>
      </c>
      <c r="C70" s="66"/>
      <c r="D70" s="67"/>
      <c r="E70" s="68"/>
      <c r="F70" s="67"/>
      <c r="G70" s="188"/>
      <c r="H70" s="188"/>
      <c r="I70" s="69"/>
      <c r="J70" s="70" t="s">
        <v>21</v>
      </c>
      <c r="K70" s="71"/>
      <c r="L70" s="71"/>
      <c r="M70" s="72"/>
      <c r="N70" s="73" t="s">
        <v>21</v>
      </c>
      <c r="O70" s="71"/>
      <c r="P70" s="71"/>
      <c r="Q70" s="71"/>
      <c r="R70" s="68"/>
    </row>
    <row r="71" spans="1:18" x14ac:dyDescent="0.15">
      <c r="A71" s="38"/>
      <c r="B71" s="39">
        <v>55</v>
      </c>
      <c r="C71" s="74"/>
      <c r="D71" s="59"/>
      <c r="E71" s="60"/>
      <c r="F71" s="59"/>
      <c r="G71" s="187"/>
      <c r="H71" s="187"/>
      <c r="I71" s="61"/>
      <c r="J71" s="75" t="s">
        <v>21</v>
      </c>
      <c r="K71" s="76"/>
      <c r="L71" s="76"/>
      <c r="M71" s="64"/>
      <c r="N71" s="77" t="s">
        <v>21</v>
      </c>
      <c r="O71" s="76"/>
      <c r="P71" s="76"/>
      <c r="Q71" s="76"/>
      <c r="R71" s="60"/>
    </row>
    <row r="72" spans="1:18" x14ac:dyDescent="0.15">
      <c r="A72" s="38"/>
      <c r="B72" s="39">
        <v>56</v>
      </c>
      <c r="C72" s="66"/>
      <c r="D72" s="67"/>
      <c r="E72" s="68"/>
      <c r="F72" s="67"/>
      <c r="G72" s="188"/>
      <c r="H72" s="188"/>
      <c r="I72" s="69"/>
      <c r="J72" s="70" t="s">
        <v>21</v>
      </c>
      <c r="K72" s="71"/>
      <c r="L72" s="71"/>
      <c r="M72" s="72"/>
      <c r="N72" s="73" t="s">
        <v>21</v>
      </c>
      <c r="O72" s="71"/>
      <c r="P72" s="71"/>
      <c r="Q72" s="71"/>
      <c r="R72" s="68"/>
    </row>
    <row r="73" spans="1:18" x14ac:dyDescent="0.15">
      <c r="A73" s="38"/>
      <c r="B73" s="39">
        <v>57</v>
      </c>
      <c r="C73" s="74"/>
      <c r="D73" s="59"/>
      <c r="E73" s="60"/>
      <c r="F73" s="59"/>
      <c r="G73" s="187"/>
      <c r="H73" s="187"/>
      <c r="I73" s="61"/>
      <c r="J73" s="75" t="s">
        <v>21</v>
      </c>
      <c r="K73" s="76"/>
      <c r="L73" s="76"/>
      <c r="M73" s="64"/>
      <c r="N73" s="77" t="s">
        <v>21</v>
      </c>
      <c r="O73" s="76"/>
      <c r="P73" s="76"/>
      <c r="Q73" s="76"/>
      <c r="R73" s="60"/>
    </row>
    <row r="74" spans="1:18" x14ac:dyDescent="0.15">
      <c r="A74" s="38"/>
      <c r="B74" s="39">
        <v>58</v>
      </c>
      <c r="C74" s="66"/>
      <c r="D74" s="67"/>
      <c r="E74" s="68"/>
      <c r="F74" s="67"/>
      <c r="G74" s="188"/>
      <c r="H74" s="188"/>
      <c r="I74" s="69"/>
      <c r="J74" s="70" t="s">
        <v>21</v>
      </c>
      <c r="K74" s="71"/>
      <c r="L74" s="71"/>
      <c r="M74" s="72"/>
      <c r="N74" s="73" t="s">
        <v>21</v>
      </c>
      <c r="O74" s="71"/>
      <c r="P74" s="71"/>
      <c r="Q74" s="71"/>
      <c r="R74" s="68"/>
    </row>
    <row r="75" spans="1:18" x14ac:dyDescent="0.15">
      <c r="A75" s="38"/>
      <c r="B75" s="39">
        <v>59</v>
      </c>
      <c r="C75" s="74"/>
      <c r="D75" s="59"/>
      <c r="E75" s="60"/>
      <c r="F75" s="59"/>
      <c r="G75" s="187"/>
      <c r="H75" s="187"/>
      <c r="I75" s="61"/>
      <c r="J75" s="75" t="s">
        <v>21</v>
      </c>
      <c r="K75" s="76"/>
      <c r="L75" s="76"/>
      <c r="M75" s="64"/>
      <c r="N75" s="77" t="s">
        <v>21</v>
      </c>
      <c r="O75" s="76"/>
      <c r="P75" s="76"/>
      <c r="Q75" s="76"/>
      <c r="R75" s="60"/>
    </row>
    <row r="76" spans="1:18" x14ac:dyDescent="0.15">
      <c r="A76" s="38"/>
      <c r="B76" s="39">
        <v>60</v>
      </c>
      <c r="C76" s="66"/>
      <c r="D76" s="67"/>
      <c r="E76" s="68"/>
      <c r="F76" s="67"/>
      <c r="G76" s="188"/>
      <c r="H76" s="188"/>
      <c r="I76" s="69"/>
      <c r="J76" s="70" t="s">
        <v>21</v>
      </c>
      <c r="K76" s="71"/>
      <c r="L76" s="71"/>
      <c r="M76" s="72"/>
      <c r="N76" s="73" t="s">
        <v>21</v>
      </c>
      <c r="O76" s="71"/>
      <c r="P76" s="71"/>
      <c r="Q76" s="71"/>
      <c r="R76" s="68"/>
    </row>
    <row r="77" spans="1:18" x14ac:dyDescent="0.15">
      <c r="A77" s="38"/>
      <c r="B77" s="39">
        <v>61</v>
      </c>
      <c r="C77" s="74"/>
      <c r="D77" s="59"/>
      <c r="E77" s="60"/>
      <c r="F77" s="59"/>
      <c r="G77" s="187"/>
      <c r="H77" s="187"/>
      <c r="I77" s="61"/>
      <c r="J77" s="75" t="s">
        <v>21</v>
      </c>
      <c r="K77" s="76"/>
      <c r="L77" s="76"/>
      <c r="M77" s="64"/>
      <c r="N77" s="77" t="s">
        <v>21</v>
      </c>
      <c r="O77" s="76"/>
      <c r="P77" s="76"/>
      <c r="Q77" s="76"/>
      <c r="R77" s="60"/>
    </row>
    <row r="78" spans="1:18" x14ac:dyDescent="0.15">
      <c r="A78" s="38"/>
      <c r="B78" s="39">
        <v>62</v>
      </c>
      <c r="C78" s="66"/>
      <c r="D78" s="67"/>
      <c r="E78" s="68"/>
      <c r="F78" s="67"/>
      <c r="G78" s="188"/>
      <c r="H78" s="188"/>
      <c r="I78" s="69"/>
      <c r="J78" s="70" t="s">
        <v>21</v>
      </c>
      <c r="K78" s="71"/>
      <c r="L78" s="71"/>
      <c r="M78" s="72"/>
      <c r="N78" s="73" t="s">
        <v>21</v>
      </c>
      <c r="O78" s="71"/>
      <c r="P78" s="71"/>
      <c r="Q78" s="71"/>
      <c r="R78" s="68"/>
    </row>
    <row r="79" spans="1:18" x14ac:dyDescent="0.15">
      <c r="A79" s="38"/>
      <c r="B79" s="39">
        <v>63</v>
      </c>
      <c r="C79" s="74"/>
      <c r="D79" s="59"/>
      <c r="E79" s="60"/>
      <c r="F79" s="59"/>
      <c r="G79" s="187"/>
      <c r="H79" s="187"/>
      <c r="I79" s="61"/>
      <c r="J79" s="75" t="s">
        <v>21</v>
      </c>
      <c r="K79" s="76"/>
      <c r="L79" s="76"/>
      <c r="M79" s="64"/>
      <c r="N79" s="77" t="s">
        <v>21</v>
      </c>
      <c r="O79" s="76"/>
      <c r="P79" s="76"/>
      <c r="Q79" s="76"/>
      <c r="R79" s="60"/>
    </row>
    <row r="80" spans="1:18" x14ac:dyDescent="0.15">
      <c r="A80" s="38"/>
      <c r="B80" s="39">
        <v>64</v>
      </c>
      <c r="C80" s="66"/>
      <c r="D80" s="67"/>
      <c r="E80" s="68"/>
      <c r="F80" s="67"/>
      <c r="G80" s="188"/>
      <c r="H80" s="188"/>
      <c r="I80" s="69"/>
      <c r="J80" s="70" t="s">
        <v>21</v>
      </c>
      <c r="K80" s="71"/>
      <c r="L80" s="71"/>
      <c r="M80" s="72"/>
      <c r="N80" s="73" t="s">
        <v>21</v>
      </c>
      <c r="O80" s="71"/>
      <c r="P80" s="71"/>
      <c r="Q80" s="71"/>
      <c r="R80" s="68"/>
    </row>
    <row r="81" spans="1:18" x14ac:dyDescent="0.15">
      <c r="A81" s="38"/>
      <c r="B81" s="39">
        <v>65</v>
      </c>
      <c r="C81" s="74"/>
      <c r="D81" s="59"/>
      <c r="E81" s="60"/>
      <c r="F81" s="59"/>
      <c r="G81" s="187"/>
      <c r="H81" s="187"/>
      <c r="I81" s="61"/>
      <c r="J81" s="75" t="s">
        <v>21</v>
      </c>
      <c r="K81" s="76"/>
      <c r="L81" s="76"/>
      <c r="M81" s="64"/>
      <c r="N81" s="77" t="s">
        <v>21</v>
      </c>
      <c r="O81" s="76"/>
      <c r="P81" s="76"/>
      <c r="Q81" s="76"/>
      <c r="R81" s="60"/>
    </row>
    <row r="82" spans="1:18" x14ac:dyDescent="0.15">
      <c r="A82" s="38"/>
      <c r="B82" s="39">
        <v>66</v>
      </c>
      <c r="C82" s="66"/>
      <c r="D82" s="67"/>
      <c r="E82" s="68"/>
      <c r="F82" s="67"/>
      <c r="G82" s="188"/>
      <c r="H82" s="188"/>
      <c r="I82" s="69"/>
      <c r="J82" s="70" t="s">
        <v>21</v>
      </c>
      <c r="K82" s="71"/>
      <c r="L82" s="71"/>
      <c r="M82" s="72"/>
      <c r="N82" s="73" t="s">
        <v>21</v>
      </c>
      <c r="O82" s="71"/>
      <c r="P82" s="71"/>
      <c r="Q82" s="71"/>
      <c r="R82" s="68"/>
    </row>
    <row r="83" spans="1:18" x14ac:dyDescent="0.15">
      <c r="A83" s="38"/>
      <c r="B83" s="39">
        <v>67</v>
      </c>
      <c r="C83" s="74"/>
      <c r="D83" s="59"/>
      <c r="E83" s="60"/>
      <c r="F83" s="59"/>
      <c r="G83" s="187"/>
      <c r="H83" s="187"/>
      <c r="I83" s="61"/>
      <c r="J83" s="75" t="s">
        <v>21</v>
      </c>
      <c r="K83" s="76"/>
      <c r="L83" s="76"/>
      <c r="M83" s="64"/>
      <c r="N83" s="77" t="s">
        <v>21</v>
      </c>
      <c r="O83" s="76"/>
      <c r="P83" s="76"/>
      <c r="Q83" s="76"/>
      <c r="R83" s="60"/>
    </row>
    <row r="84" spans="1:18" x14ac:dyDescent="0.15">
      <c r="A84" s="38"/>
      <c r="B84" s="39">
        <v>68</v>
      </c>
      <c r="C84" s="66"/>
      <c r="D84" s="67"/>
      <c r="E84" s="68"/>
      <c r="F84" s="67"/>
      <c r="G84" s="188"/>
      <c r="H84" s="188"/>
      <c r="I84" s="69"/>
      <c r="J84" s="70" t="s">
        <v>21</v>
      </c>
      <c r="K84" s="71"/>
      <c r="L84" s="71"/>
      <c r="M84" s="72"/>
      <c r="N84" s="73" t="s">
        <v>21</v>
      </c>
      <c r="O84" s="71"/>
      <c r="P84" s="71"/>
      <c r="Q84" s="71"/>
      <c r="R84" s="68"/>
    </row>
    <row r="85" spans="1:18" x14ac:dyDescent="0.15">
      <c r="A85" s="38"/>
      <c r="B85" s="39">
        <v>69</v>
      </c>
      <c r="C85" s="74"/>
      <c r="D85" s="59"/>
      <c r="E85" s="60"/>
      <c r="F85" s="59"/>
      <c r="G85" s="187"/>
      <c r="H85" s="187"/>
      <c r="I85" s="61"/>
      <c r="J85" s="75" t="s">
        <v>21</v>
      </c>
      <c r="K85" s="76"/>
      <c r="L85" s="76"/>
      <c r="M85" s="64"/>
      <c r="N85" s="77" t="s">
        <v>21</v>
      </c>
      <c r="O85" s="76"/>
      <c r="P85" s="76"/>
      <c r="Q85" s="76"/>
      <c r="R85" s="60"/>
    </row>
    <row r="86" spans="1:18" x14ac:dyDescent="0.15">
      <c r="A86" s="38"/>
      <c r="B86" s="39">
        <v>70</v>
      </c>
      <c r="C86" s="66"/>
      <c r="D86" s="67"/>
      <c r="E86" s="68"/>
      <c r="F86" s="67"/>
      <c r="G86" s="188"/>
      <c r="H86" s="188"/>
      <c r="I86" s="69"/>
      <c r="J86" s="70" t="s">
        <v>21</v>
      </c>
      <c r="K86" s="71"/>
      <c r="L86" s="71"/>
      <c r="M86" s="72"/>
      <c r="N86" s="73" t="s">
        <v>21</v>
      </c>
      <c r="O86" s="71"/>
      <c r="P86" s="71"/>
      <c r="Q86" s="71"/>
      <c r="R86" s="68"/>
    </row>
    <row r="87" spans="1:18" x14ac:dyDescent="0.15">
      <c r="A87" s="38"/>
      <c r="B87" s="39">
        <v>71</v>
      </c>
      <c r="C87" s="74"/>
      <c r="D87" s="59"/>
      <c r="E87" s="60"/>
      <c r="F87" s="59"/>
      <c r="G87" s="187"/>
      <c r="H87" s="187"/>
      <c r="I87" s="61"/>
      <c r="J87" s="75" t="s">
        <v>21</v>
      </c>
      <c r="K87" s="76"/>
      <c r="L87" s="76"/>
      <c r="M87" s="64"/>
      <c r="N87" s="77" t="s">
        <v>21</v>
      </c>
      <c r="O87" s="76"/>
      <c r="P87" s="76"/>
      <c r="Q87" s="76"/>
      <c r="R87" s="60"/>
    </row>
    <row r="88" spans="1:18" x14ac:dyDescent="0.15">
      <c r="A88" s="38"/>
      <c r="B88" s="39">
        <v>72</v>
      </c>
      <c r="C88" s="66"/>
      <c r="D88" s="67"/>
      <c r="E88" s="68"/>
      <c r="F88" s="67"/>
      <c r="G88" s="188"/>
      <c r="H88" s="188"/>
      <c r="I88" s="69"/>
      <c r="J88" s="70" t="s">
        <v>21</v>
      </c>
      <c r="K88" s="71"/>
      <c r="L88" s="71"/>
      <c r="M88" s="72"/>
      <c r="N88" s="73" t="s">
        <v>21</v>
      </c>
      <c r="O88" s="71"/>
      <c r="P88" s="71"/>
      <c r="Q88" s="71"/>
      <c r="R88" s="68"/>
    </row>
    <row r="89" spans="1:18" x14ac:dyDescent="0.15">
      <c r="A89" s="38"/>
      <c r="B89" s="39">
        <v>73</v>
      </c>
      <c r="C89" s="74"/>
      <c r="D89" s="59"/>
      <c r="E89" s="60"/>
      <c r="F89" s="59"/>
      <c r="G89" s="187"/>
      <c r="H89" s="187"/>
      <c r="I89" s="61"/>
      <c r="J89" s="75" t="s">
        <v>21</v>
      </c>
      <c r="K89" s="76"/>
      <c r="L89" s="76"/>
      <c r="M89" s="64"/>
      <c r="N89" s="77" t="s">
        <v>21</v>
      </c>
      <c r="O89" s="76"/>
      <c r="P89" s="76"/>
      <c r="Q89" s="76"/>
      <c r="R89" s="60"/>
    </row>
    <row r="90" spans="1:18" x14ac:dyDescent="0.15">
      <c r="A90" s="38"/>
      <c r="B90" s="39">
        <v>74</v>
      </c>
      <c r="C90" s="66"/>
      <c r="D90" s="67"/>
      <c r="E90" s="68"/>
      <c r="F90" s="67"/>
      <c r="G90" s="188"/>
      <c r="H90" s="188"/>
      <c r="I90" s="69"/>
      <c r="J90" s="70" t="s">
        <v>21</v>
      </c>
      <c r="K90" s="71"/>
      <c r="L90" s="71"/>
      <c r="M90" s="72"/>
      <c r="N90" s="73" t="s">
        <v>21</v>
      </c>
      <c r="O90" s="71"/>
      <c r="P90" s="71"/>
      <c r="Q90" s="71"/>
      <c r="R90" s="68"/>
    </row>
    <row r="91" spans="1:18" x14ac:dyDescent="0.15">
      <c r="A91" s="38"/>
      <c r="B91" s="39">
        <v>75</v>
      </c>
      <c r="C91" s="74"/>
      <c r="D91" s="59"/>
      <c r="E91" s="60"/>
      <c r="F91" s="59"/>
      <c r="G91" s="187"/>
      <c r="H91" s="187"/>
      <c r="I91" s="61"/>
      <c r="J91" s="75" t="s">
        <v>21</v>
      </c>
      <c r="K91" s="76"/>
      <c r="L91" s="76"/>
      <c r="M91" s="64"/>
      <c r="N91" s="77" t="s">
        <v>21</v>
      </c>
      <c r="O91" s="76"/>
      <c r="P91" s="76"/>
      <c r="Q91" s="76"/>
      <c r="R91" s="60"/>
    </row>
    <row r="92" spans="1:18" x14ac:dyDescent="0.15">
      <c r="A92" s="38"/>
      <c r="B92" s="39">
        <v>76</v>
      </c>
      <c r="C92" s="66"/>
      <c r="D92" s="67"/>
      <c r="E92" s="68"/>
      <c r="F92" s="67"/>
      <c r="G92" s="188"/>
      <c r="H92" s="188"/>
      <c r="I92" s="69"/>
      <c r="J92" s="70" t="s">
        <v>21</v>
      </c>
      <c r="K92" s="71"/>
      <c r="L92" s="71"/>
      <c r="M92" s="72"/>
      <c r="N92" s="73" t="s">
        <v>21</v>
      </c>
      <c r="O92" s="71"/>
      <c r="P92" s="71"/>
      <c r="Q92" s="71"/>
      <c r="R92" s="68"/>
    </row>
    <row r="93" spans="1:18" x14ac:dyDescent="0.15">
      <c r="A93" s="38"/>
      <c r="B93" s="39">
        <v>77</v>
      </c>
      <c r="C93" s="74"/>
      <c r="D93" s="59"/>
      <c r="E93" s="60"/>
      <c r="F93" s="59"/>
      <c r="G93" s="187"/>
      <c r="H93" s="187"/>
      <c r="I93" s="61"/>
      <c r="J93" s="75" t="s">
        <v>21</v>
      </c>
      <c r="K93" s="76"/>
      <c r="L93" s="76"/>
      <c r="M93" s="64"/>
      <c r="N93" s="77" t="s">
        <v>21</v>
      </c>
      <c r="O93" s="76"/>
      <c r="P93" s="76"/>
      <c r="Q93" s="76"/>
      <c r="R93" s="60"/>
    </row>
    <row r="94" spans="1:18" x14ac:dyDescent="0.15">
      <c r="A94" s="38"/>
      <c r="B94" s="39">
        <v>78</v>
      </c>
      <c r="C94" s="66"/>
      <c r="D94" s="67"/>
      <c r="E94" s="68"/>
      <c r="F94" s="67"/>
      <c r="G94" s="188"/>
      <c r="H94" s="188"/>
      <c r="I94" s="69"/>
      <c r="J94" s="70" t="s">
        <v>21</v>
      </c>
      <c r="K94" s="71"/>
      <c r="L94" s="71"/>
      <c r="M94" s="72"/>
      <c r="N94" s="73" t="s">
        <v>21</v>
      </c>
      <c r="O94" s="71"/>
      <c r="P94" s="71"/>
      <c r="Q94" s="71"/>
      <c r="R94" s="68"/>
    </row>
    <row r="95" spans="1:18" x14ac:dyDescent="0.15">
      <c r="A95" s="38"/>
      <c r="B95" s="39">
        <v>79</v>
      </c>
      <c r="C95" s="74"/>
      <c r="D95" s="59"/>
      <c r="E95" s="60"/>
      <c r="F95" s="59"/>
      <c r="G95" s="187"/>
      <c r="H95" s="187"/>
      <c r="I95" s="61"/>
      <c r="J95" s="75" t="s">
        <v>21</v>
      </c>
      <c r="K95" s="76"/>
      <c r="L95" s="76"/>
      <c r="M95" s="64"/>
      <c r="N95" s="77" t="s">
        <v>21</v>
      </c>
      <c r="O95" s="76"/>
      <c r="P95" s="76"/>
      <c r="Q95" s="76"/>
      <c r="R95" s="60"/>
    </row>
    <row r="96" spans="1:18" x14ac:dyDescent="0.15">
      <c r="A96" s="38"/>
      <c r="B96" s="39">
        <v>80</v>
      </c>
      <c r="C96" s="66"/>
      <c r="D96" s="67"/>
      <c r="E96" s="68"/>
      <c r="F96" s="67"/>
      <c r="G96" s="188"/>
      <c r="H96" s="188"/>
      <c r="I96" s="69"/>
      <c r="J96" s="70" t="s">
        <v>21</v>
      </c>
      <c r="K96" s="71"/>
      <c r="L96" s="71"/>
      <c r="M96" s="72"/>
      <c r="N96" s="73" t="s">
        <v>21</v>
      </c>
      <c r="O96" s="71"/>
      <c r="P96" s="71"/>
      <c r="Q96" s="71"/>
      <c r="R96" s="68"/>
    </row>
    <row r="97" spans="1:18" x14ac:dyDescent="0.15">
      <c r="A97" s="38"/>
      <c r="B97" s="39">
        <v>81</v>
      </c>
      <c r="C97" s="74"/>
      <c r="D97" s="59"/>
      <c r="E97" s="60"/>
      <c r="F97" s="59"/>
      <c r="G97" s="187"/>
      <c r="H97" s="187"/>
      <c r="I97" s="61"/>
      <c r="J97" s="75" t="s">
        <v>21</v>
      </c>
      <c r="K97" s="76"/>
      <c r="L97" s="76"/>
      <c r="M97" s="64"/>
      <c r="N97" s="77" t="s">
        <v>21</v>
      </c>
      <c r="O97" s="76"/>
      <c r="P97" s="76"/>
      <c r="Q97" s="76"/>
      <c r="R97" s="60"/>
    </row>
    <row r="98" spans="1:18" x14ac:dyDescent="0.15">
      <c r="A98" s="38"/>
      <c r="B98" s="39">
        <v>82</v>
      </c>
      <c r="C98" s="66"/>
      <c r="D98" s="67"/>
      <c r="E98" s="68"/>
      <c r="F98" s="67"/>
      <c r="G98" s="188"/>
      <c r="H98" s="188"/>
      <c r="I98" s="69"/>
      <c r="J98" s="70" t="s">
        <v>21</v>
      </c>
      <c r="K98" s="71"/>
      <c r="L98" s="71"/>
      <c r="M98" s="72"/>
      <c r="N98" s="73" t="s">
        <v>21</v>
      </c>
      <c r="O98" s="71"/>
      <c r="P98" s="71"/>
      <c r="Q98" s="71"/>
      <c r="R98" s="68"/>
    </row>
    <row r="99" spans="1:18" x14ac:dyDescent="0.15">
      <c r="A99" s="38"/>
      <c r="B99" s="39">
        <v>83</v>
      </c>
      <c r="C99" s="74"/>
      <c r="D99" s="59"/>
      <c r="E99" s="60"/>
      <c r="F99" s="59"/>
      <c r="G99" s="187"/>
      <c r="H99" s="187"/>
      <c r="I99" s="61"/>
      <c r="J99" s="75" t="s">
        <v>21</v>
      </c>
      <c r="K99" s="76"/>
      <c r="L99" s="76"/>
      <c r="M99" s="64"/>
      <c r="N99" s="77" t="s">
        <v>21</v>
      </c>
      <c r="O99" s="76"/>
      <c r="P99" s="76"/>
      <c r="Q99" s="76"/>
      <c r="R99" s="60"/>
    </row>
    <row r="100" spans="1:18" x14ac:dyDescent="0.15">
      <c r="A100" s="38"/>
      <c r="B100" s="39">
        <v>84</v>
      </c>
      <c r="C100" s="66"/>
      <c r="D100" s="67"/>
      <c r="E100" s="68"/>
      <c r="F100" s="67"/>
      <c r="G100" s="188"/>
      <c r="H100" s="188"/>
      <c r="I100" s="69"/>
      <c r="J100" s="70" t="s">
        <v>21</v>
      </c>
      <c r="K100" s="71"/>
      <c r="L100" s="71"/>
      <c r="M100" s="72"/>
      <c r="N100" s="73" t="s">
        <v>21</v>
      </c>
      <c r="O100" s="71"/>
      <c r="P100" s="71"/>
      <c r="Q100" s="71"/>
      <c r="R100" s="68"/>
    </row>
    <row r="101" spans="1:18" x14ac:dyDescent="0.15">
      <c r="A101" s="38"/>
      <c r="B101" s="39">
        <v>85</v>
      </c>
      <c r="C101" s="74"/>
      <c r="D101" s="59"/>
      <c r="E101" s="60"/>
      <c r="F101" s="59"/>
      <c r="G101" s="187"/>
      <c r="H101" s="187"/>
      <c r="I101" s="61"/>
      <c r="J101" s="75" t="s">
        <v>21</v>
      </c>
      <c r="K101" s="76"/>
      <c r="L101" s="76"/>
      <c r="M101" s="64"/>
      <c r="N101" s="77" t="s">
        <v>21</v>
      </c>
      <c r="O101" s="76"/>
      <c r="P101" s="76"/>
      <c r="Q101" s="76"/>
      <c r="R101" s="60"/>
    </row>
    <row r="102" spans="1:18" x14ac:dyDescent="0.15">
      <c r="A102" s="38"/>
      <c r="B102" s="39">
        <v>86</v>
      </c>
      <c r="C102" s="66"/>
      <c r="D102" s="67"/>
      <c r="E102" s="68"/>
      <c r="F102" s="67"/>
      <c r="G102" s="188"/>
      <c r="H102" s="188"/>
      <c r="I102" s="69"/>
      <c r="J102" s="70" t="s">
        <v>21</v>
      </c>
      <c r="K102" s="71"/>
      <c r="L102" s="71"/>
      <c r="M102" s="72"/>
      <c r="N102" s="73" t="s">
        <v>21</v>
      </c>
      <c r="O102" s="71"/>
      <c r="P102" s="71"/>
      <c r="Q102" s="71"/>
      <c r="R102" s="68"/>
    </row>
    <row r="103" spans="1:18" x14ac:dyDescent="0.15">
      <c r="A103" s="38"/>
      <c r="B103" s="39">
        <v>87</v>
      </c>
      <c r="C103" s="74"/>
      <c r="D103" s="59"/>
      <c r="E103" s="60"/>
      <c r="F103" s="59"/>
      <c r="G103" s="187"/>
      <c r="H103" s="187"/>
      <c r="I103" s="61"/>
      <c r="J103" s="75" t="s">
        <v>21</v>
      </c>
      <c r="K103" s="76"/>
      <c r="L103" s="76"/>
      <c r="M103" s="64"/>
      <c r="N103" s="77" t="s">
        <v>21</v>
      </c>
      <c r="O103" s="76"/>
      <c r="P103" s="76"/>
      <c r="Q103" s="76"/>
      <c r="R103" s="60"/>
    </row>
    <row r="104" spans="1:18" x14ac:dyDescent="0.15">
      <c r="A104" s="38"/>
      <c r="B104" s="39">
        <v>88</v>
      </c>
      <c r="C104" s="66"/>
      <c r="D104" s="67"/>
      <c r="E104" s="68"/>
      <c r="F104" s="67"/>
      <c r="G104" s="188"/>
      <c r="H104" s="188"/>
      <c r="I104" s="69"/>
      <c r="J104" s="70" t="s">
        <v>21</v>
      </c>
      <c r="K104" s="71"/>
      <c r="L104" s="71"/>
      <c r="M104" s="72"/>
      <c r="N104" s="73" t="s">
        <v>21</v>
      </c>
      <c r="O104" s="71"/>
      <c r="P104" s="71"/>
      <c r="Q104" s="71"/>
      <c r="R104" s="68"/>
    </row>
    <row r="105" spans="1:18" x14ac:dyDescent="0.15">
      <c r="A105" s="38"/>
      <c r="B105" s="39">
        <v>89</v>
      </c>
      <c r="C105" s="74"/>
      <c r="D105" s="59"/>
      <c r="E105" s="60"/>
      <c r="F105" s="59"/>
      <c r="G105" s="187"/>
      <c r="H105" s="187"/>
      <c r="I105" s="61"/>
      <c r="J105" s="75" t="s">
        <v>21</v>
      </c>
      <c r="K105" s="76"/>
      <c r="L105" s="76"/>
      <c r="M105" s="64"/>
      <c r="N105" s="77" t="s">
        <v>21</v>
      </c>
      <c r="O105" s="76"/>
      <c r="P105" s="76"/>
      <c r="Q105" s="76"/>
      <c r="R105" s="60"/>
    </row>
    <row r="106" spans="1:18" x14ac:dyDescent="0.15">
      <c r="A106" s="38"/>
      <c r="B106" s="39">
        <v>90</v>
      </c>
      <c r="C106" s="66"/>
      <c r="D106" s="67"/>
      <c r="E106" s="68"/>
      <c r="F106" s="67"/>
      <c r="G106" s="188"/>
      <c r="H106" s="188"/>
      <c r="I106" s="69"/>
      <c r="J106" s="70" t="s">
        <v>21</v>
      </c>
      <c r="K106" s="71"/>
      <c r="L106" s="71"/>
      <c r="M106" s="72"/>
      <c r="N106" s="73" t="s">
        <v>21</v>
      </c>
      <c r="O106" s="71"/>
      <c r="P106" s="71"/>
      <c r="Q106" s="71"/>
      <c r="R106" s="68"/>
    </row>
    <row r="107" spans="1:18" x14ac:dyDescent="0.15">
      <c r="A107" s="38"/>
      <c r="B107" s="39">
        <v>91</v>
      </c>
      <c r="C107" s="74"/>
      <c r="D107" s="59"/>
      <c r="E107" s="60"/>
      <c r="F107" s="59"/>
      <c r="G107" s="187"/>
      <c r="H107" s="187"/>
      <c r="I107" s="61"/>
      <c r="J107" s="75" t="s">
        <v>21</v>
      </c>
      <c r="K107" s="76"/>
      <c r="L107" s="76"/>
      <c r="M107" s="64"/>
      <c r="N107" s="77" t="s">
        <v>21</v>
      </c>
      <c r="O107" s="76"/>
      <c r="P107" s="76"/>
      <c r="Q107" s="76"/>
      <c r="R107" s="60"/>
    </row>
    <row r="108" spans="1:18" x14ac:dyDescent="0.15">
      <c r="A108" s="38"/>
      <c r="B108" s="39">
        <v>92</v>
      </c>
      <c r="C108" s="66"/>
      <c r="D108" s="67"/>
      <c r="E108" s="68"/>
      <c r="F108" s="67"/>
      <c r="G108" s="188"/>
      <c r="H108" s="188"/>
      <c r="I108" s="69"/>
      <c r="J108" s="70" t="s">
        <v>21</v>
      </c>
      <c r="K108" s="71"/>
      <c r="L108" s="71"/>
      <c r="M108" s="72"/>
      <c r="N108" s="73" t="s">
        <v>21</v>
      </c>
      <c r="O108" s="71"/>
      <c r="P108" s="71"/>
      <c r="Q108" s="71"/>
      <c r="R108" s="68"/>
    </row>
    <row r="109" spans="1:18" x14ac:dyDescent="0.15">
      <c r="A109" s="38"/>
      <c r="B109" s="39">
        <v>93</v>
      </c>
      <c r="C109" s="74"/>
      <c r="D109" s="59"/>
      <c r="E109" s="60"/>
      <c r="F109" s="59"/>
      <c r="G109" s="187"/>
      <c r="H109" s="187"/>
      <c r="I109" s="61"/>
      <c r="J109" s="75" t="s">
        <v>21</v>
      </c>
      <c r="K109" s="76"/>
      <c r="L109" s="76"/>
      <c r="M109" s="64"/>
      <c r="N109" s="77" t="s">
        <v>21</v>
      </c>
      <c r="O109" s="76"/>
      <c r="P109" s="76"/>
      <c r="Q109" s="76"/>
      <c r="R109" s="60"/>
    </row>
    <row r="110" spans="1:18" x14ac:dyDescent="0.15">
      <c r="A110" s="38"/>
      <c r="B110" s="39">
        <v>94</v>
      </c>
      <c r="C110" s="66"/>
      <c r="D110" s="67"/>
      <c r="E110" s="68"/>
      <c r="F110" s="67"/>
      <c r="G110" s="188"/>
      <c r="H110" s="188"/>
      <c r="I110" s="69"/>
      <c r="J110" s="70" t="s">
        <v>21</v>
      </c>
      <c r="K110" s="71"/>
      <c r="L110" s="71"/>
      <c r="M110" s="72"/>
      <c r="N110" s="73" t="s">
        <v>21</v>
      </c>
      <c r="O110" s="71"/>
      <c r="P110" s="71"/>
      <c r="Q110" s="71"/>
      <c r="R110" s="68"/>
    </row>
    <row r="111" spans="1:18" x14ac:dyDescent="0.15">
      <c r="A111" s="38"/>
      <c r="B111" s="39">
        <v>95</v>
      </c>
      <c r="C111" s="74"/>
      <c r="D111" s="59"/>
      <c r="E111" s="60"/>
      <c r="F111" s="59"/>
      <c r="G111" s="187"/>
      <c r="H111" s="187"/>
      <c r="I111" s="61"/>
      <c r="J111" s="75" t="s">
        <v>21</v>
      </c>
      <c r="K111" s="76"/>
      <c r="L111" s="76"/>
      <c r="M111" s="64"/>
      <c r="N111" s="77" t="s">
        <v>21</v>
      </c>
      <c r="O111" s="76"/>
      <c r="P111" s="76"/>
      <c r="Q111" s="76"/>
      <c r="R111" s="60"/>
    </row>
    <row r="112" spans="1:18" x14ac:dyDescent="0.15">
      <c r="A112" s="38"/>
      <c r="B112" s="39">
        <v>96</v>
      </c>
      <c r="C112" s="66"/>
      <c r="D112" s="67"/>
      <c r="E112" s="68"/>
      <c r="F112" s="67"/>
      <c r="G112" s="188"/>
      <c r="H112" s="188"/>
      <c r="I112" s="69"/>
      <c r="J112" s="70" t="s">
        <v>21</v>
      </c>
      <c r="K112" s="71"/>
      <c r="L112" s="71"/>
      <c r="M112" s="72"/>
      <c r="N112" s="73" t="s">
        <v>21</v>
      </c>
      <c r="O112" s="71"/>
      <c r="P112" s="71"/>
      <c r="Q112" s="71"/>
      <c r="R112" s="68"/>
    </row>
    <row r="113" spans="1:18" x14ac:dyDescent="0.15">
      <c r="A113" s="38"/>
      <c r="B113" s="39">
        <v>97</v>
      </c>
      <c r="C113" s="74"/>
      <c r="D113" s="59"/>
      <c r="E113" s="60"/>
      <c r="F113" s="59"/>
      <c r="G113" s="187"/>
      <c r="H113" s="187"/>
      <c r="I113" s="61"/>
      <c r="J113" s="75" t="s">
        <v>21</v>
      </c>
      <c r="K113" s="76"/>
      <c r="L113" s="76"/>
      <c r="M113" s="64"/>
      <c r="N113" s="77" t="s">
        <v>21</v>
      </c>
      <c r="O113" s="76"/>
      <c r="P113" s="76"/>
      <c r="Q113" s="76"/>
      <c r="R113" s="60"/>
    </row>
    <row r="114" spans="1:18" x14ac:dyDescent="0.15">
      <c r="A114" s="38"/>
      <c r="B114" s="39">
        <v>98</v>
      </c>
      <c r="C114" s="66"/>
      <c r="D114" s="67"/>
      <c r="E114" s="68"/>
      <c r="F114" s="67"/>
      <c r="G114" s="188"/>
      <c r="H114" s="188"/>
      <c r="I114" s="69"/>
      <c r="J114" s="70" t="s">
        <v>21</v>
      </c>
      <c r="K114" s="71"/>
      <c r="L114" s="71"/>
      <c r="M114" s="72"/>
      <c r="N114" s="73" t="s">
        <v>21</v>
      </c>
      <c r="O114" s="71"/>
      <c r="P114" s="71"/>
      <c r="Q114" s="71"/>
      <c r="R114" s="68"/>
    </row>
    <row r="115" spans="1:18" x14ac:dyDescent="0.15">
      <c r="A115" s="38"/>
      <c r="B115" s="39">
        <v>99</v>
      </c>
      <c r="C115" s="74"/>
      <c r="D115" s="59"/>
      <c r="E115" s="60"/>
      <c r="F115" s="59"/>
      <c r="G115" s="187"/>
      <c r="H115" s="187"/>
      <c r="I115" s="61"/>
      <c r="J115" s="75" t="s">
        <v>21</v>
      </c>
      <c r="K115" s="76"/>
      <c r="L115" s="76"/>
      <c r="M115" s="64"/>
      <c r="N115" s="77" t="s">
        <v>21</v>
      </c>
      <c r="O115" s="76"/>
      <c r="P115" s="76"/>
      <c r="Q115" s="76"/>
      <c r="R115" s="60"/>
    </row>
    <row r="116" spans="1:18" x14ac:dyDescent="0.15">
      <c r="A116" s="38"/>
      <c r="B116" s="39">
        <v>100</v>
      </c>
      <c r="C116" s="66"/>
      <c r="D116" s="67"/>
      <c r="E116" s="68"/>
      <c r="F116" s="67"/>
      <c r="G116" s="188"/>
      <c r="H116" s="188"/>
      <c r="I116" s="69"/>
      <c r="J116" s="70" t="s">
        <v>21</v>
      </c>
      <c r="K116" s="71"/>
      <c r="L116" s="71"/>
      <c r="M116" s="72"/>
      <c r="N116" s="73" t="s">
        <v>21</v>
      </c>
      <c r="O116" s="71"/>
      <c r="P116" s="71"/>
      <c r="Q116" s="71"/>
      <c r="R116" s="68"/>
    </row>
    <row r="117" spans="1:18" x14ac:dyDescent="0.15">
      <c r="A117" s="38"/>
      <c r="B117" s="39">
        <v>101</v>
      </c>
      <c r="C117" s="74"/>
      <c r="D117" s="59"/>
      <c r="E117" s="60"/>
      <c r="F117" s="59"/>
      <c r="G117" s="187"/>
      <c r="H117" s="187"/>
      <c r="I117" s="61"/>
      <c r="J117" s="75" t="s">
        <v>21</v>
      </c>
      <c r="K117" s="76"/>
      <c r="L117" s="76"/>
      <c r="M117" s="64"/>
      <c r="N117" s="77" t="s">
        <v>21</v>
      </c>
      <c r="O117" s="76"/>
      <c r="P117" s="76"/>
      <c r="Q117" s="76"/>
      <c r="R117" s="60"/>
    </row>
    <row r="118" spans="1:18" x14ac:dyDescent="0.15">
      <c r="A118" s="38"/>
      <c r="B118" s="39">
        <v>102</v>
      </c>
      <c r="C118" s="66"/>
      <c r="D118" s="67"/>
      <c r="E118" s="68"/>
      <c r="F118" s="67"/>
      <c r="G118" s="188"/>
      <c r="H118" s="188"/>
      <c r="I118" s="69"/>
      <c r="J118" s="70" t="s">
        <v>21</v>
      </c>
      <c r="K118" s="71"/>
      <c r="L118" s="71"/>
      <c r="M118" s="72"/>
      <c r="N118" s="73" t="s">
        <v>21</v>
      </c>
      <c r="O118" s="71"/>
      <c r="P118" s="71"/>
      <c r="Q118" s="71"/>
      <c r="R118" s="68"/>
    </row>
    <row r="119" spans="1:18" x14ac:dyDescent="0.15">
      <c r="A119" s="38"/>
      <c r="B119" s="39">
        <v>103</v>
      </c>
      <c r="C119" s="74"/>
      <c r="D119" s="59"/>
      <c r="E119" s="60"/>
      <c r="F119" s="59"/>
      <c r="G119" s="187"/>
      <c r="H119" s="187"/>
      <c r="I119" s="61"/>
      <c r="J119" s="75" t="s">
        <v>21</v>
      </c>
      <c r="K119" s="76"/>
      <c r="L119" s="76"/>
      <c r="M119" s="64"/>
      <c r="N119" s="77" t="s">
        <v>21</v>
      </c>
      <c r="O119" s="76"/>
      <c r="P119" s="76"/>
      <c r="Q119" s="76"/>
      <c r="R119" s="60"/>
    </row>
    <row r="120" spans="1:18" x14ac:dyDescent="0.15">
      <c r="A120" s="38"/>
      <c r="B120" s="39">
        <v>104</v>
      </c>
      <c r="C120" s="66"/>
      <c r="D120" s="67"/>
      <c r="E120" s="68"/>
      <c r="F120" s="67"/>
      <c r="G120" s="188"/>
      <c r="H120" s="188"/>
      <c r="I120" s="69"/>
      <c r="J120" s="70" t="s">
        <v>21</v>
      </c>
      <c r="K120" s="71"/>
      <c r="L120" s="71"/>
      <c r="M120" s="72"/>
      <c r="N120" s="73" t="s">
        <v>21</v>
      </c>
      <c r="O120" s="71"/>
      <c r="P120" s="71"/>
      <c r="Q120" s="71"/>
      <c r="R120" s="68"/>
    </row>
    <row r="121" spans="1:18" x14ac:dyDescent="0.15">
      <c r="A121" s="38"/>
      <c r="B121" s="39">
        <v>105</v>
      </c>
      <c r="C121" s="74"/>
      <c r="D121" s="59"/>
      <c r="E121" s="60"/>
      <c r="F121" s="59"/>
      <c r="G121" s="187"/>
      <c r="H121" s="187"/>
      <c r="I121" s="61"/>
      <c r="J121" s="75" t="s">
        <v>21</v>
      </c>
      <c r="K121" s="76"/>
      <c r="L121" s="76"/>
      <c r="M121" s="64"/>
      <c r="N121" s="77" t="s">
        <v>21</v>
      </c>
      <c r="O121" s="76"/>
      <c r="P121" s="76"/>
      <c r="Q121" s="76"/>
      <c r="R121" s="60"/>
    </row>
    <row r="122" spans="1:18" x14ac:dyDescent="0.15">
      <c r="A122" s="38"/>
      <c r="B122" s="39">
        <v>106</v>
      </c>
      <c r="C122" s="66"/>
      <c r="D122" s="67"/>
      <c r="E122" s="68"/>
      <c r="F122" s="67"/>
      <c r="G122" s="188"/>
      <c r="H122" s="188"/>
      <c r="I122" s="69"/>
      <c r="J122" s="70" t="s">
        <v>21</v>
      </c>
      <c r="K122" s="81"/>
      <c r="L122" s="81"/>
      <c r="M122" s="82"/>
      <c r="N122" s="73" t="s">
        <v>21</v>
      </c>
      <c r="O122" s="81"/>
      <c r="P122" s="81"/>
      <c r="Q122" s="81"/>
      <c r="R122" s="68"/>
    </row>
    <row r="123" spans="1:18" x14ac:dyDescent="0.15">
      <c r="A123" s="38"/>
      <c r="B123" s="39">
        <v>107</v>
      </c>
      <c r="C123" s="74"/>
      <c r="D123" s="59"/>
      <c r="E123" s="60"/>
      <c r="F123" s="59"/>
      <c r="G123" s="187"/>
      <c r="H123" s="187"/>
      <c r="I123" s="61"/>
      <c r="J123" s="75" t="s">
        <v>21</v>
      </c>
      <c r="K123" s="83"/>
      <c r="L123" s="83"/>
      <c r="M123" s="84"/>
      <c r="N123" s="77" t="s">
        <v>21</v>
      </c>
      <c r="O123" s="83"/>
      <c r="P123" s="83"/>
      <c r="Q123" s="83"/>
      <c r="R123" s="60"/>
    </row>
    <row r="124" spans="1:18" x14ac:dyDescent="0.15">
      <c r="A124" s="38"/>
      <c r="B124" s="39">
        <v>108</v>
      </c>
      <c r="C124" s="66"/>
      <c r="D124" s="67"/>
      <c r="E124" s="68"/>
      <c r="F124" s="67"/>
      <c r="G124" s="188"/>
      <c r="H124" s="188"/>
      <c r="I124" s="69"/>
      <c r="J124" s="70" t="s">
        <v>21</v>
      </c>
      <c r="K124" s="81"/>
      <c r="L124" s="81"/>
      <c r="M124" s="82"/>
      <c r="N124" s="73" t="s">
        <v>21</v>
      </c>
      <c r="O124" s="81"/>
      <c r="P124" s="81"/>
      <c r="Q124" s="81"/>
      <c r="R124" s="68"/>
    </row>
    <row r="125" spans="1:18" x14ac:dyDescent="0.15">
      <c r="A125" s="38"/>
      <c r="B125" s="39">
        <v>109</v>
      </c>
      <c r="C125" s="74"/>
      <c r="D125" s="59"/>
      <c r="E125" s="60"/>
      <c r="F125" s="59"/>
      <c r="G125" s="187"/>
      <c r="H125" s="187"/>
      <c r="I125" s="61"/>
      <c r="J125" s="75" t="s">
        <v>21</v>
      </c>
      <c r="K125" s="83"/>
      <c r="L125" s="83"/>
      <c r="M125" s="84"/>
      <c r="N125" s="77" t="s">
        <v>21</v>
      </c>
      <c r="O125" s="83"/>
      <c r="P125" s="83"/>
      <c r="Q125" s="83"/>
      <c r="R125" s="60"/>
    </row>
    <row r="126" spans="1:18" x14ac:dyDescent="0.15">
      <c r="A126" s="38"/>
      <c r="B126" s="39">
        <v>110</v>
      </c>
      <c r="C126" s="66"/>
      <c r="D126" s="67"/>
      <c r="E126" s="68"/>
      <c r="F126" s="67"/>
      <c r="G126" s="188"/>
      <c r="H126" s="188"/>
      <c r="I126" s="69"/>
      <c r="J126" s="70" t="s">
        <v>21</v>
      </c>
      <c r="K126" s="81"/>
      <c r="L126" s="81"/>
      <c r="M126" s="82"/>
      <c r="N126" s="73" t="s">
        <v>21</v>
      </c>
      <c r="O126" s="81"/>
      <c r="P126" s="81"/>
      <c r="Q126" s="81"/>
      <c r="R126" s="68"/>
    </row>
    <row r="127" spans="1:18" x14ac:dyDescent="0.15">
      <c r="A127" s="38"/>
      <c r="B127" s="39">
        <v>111</v>
      </c>
      <c r="C127" s="74"/>
      <c r="D127" s="59"/>
      <c r="E127" s="60"/>
      <c r="F127" s="59"/>
      <c r="G127" s="187"/>
      <c r="H127" s="187"/>
      <c r="I127" s="61"/>
      <c r="J127" s="75" t="s">
        <v>21</v>
      </c>
      <c r="K127" s="83"/>
      <c r="L127" s="83"/>
      <c r="M127" s="84"/>
      <c r="N127" s="77" t="s">
        <v>21</v>
      </c>
      <c r="O127" s="83"/>
      <c r="P127" s="83"/>
      <c r="Q127" s="83"/>
      <c r="R127" s="60"/>
    </row>
    <row r="128" spans="1:18" x14ac:dyDescent="0.15">
      <c r="A128" s="38"/>
      <c r="B128" s="39">
        <v>112</v>
      </c>
      <c r="C128" s="66"/>
      <c r="D128" s="67"/>
      <c r="E128" s="68"/>
      <c r="F128" s="67"/>
      <c r="G128" s="188"/>
      <c r="H128" s="188"/>
      <c r="I128" s="69"/>
      <c r="J128" s="70" t="s">
        <v>21</v>
      </c>
      <c r="K128" s="81"/>
      <c r="L128" s="81"/>
      <c r="M128" s="82"/>
      <c r="N128" s="73" t="s">
        <v>21</v>
      </c>
      <c r="O128" s="81"/>
      <c r="P128" s="81"/>
      <c r="Q128" s="81"/>
      <c r="R128" s="68"/>
    </row>
    <row r="129" spans="1:18" x14ac:dyDescent="0.15">
      <c r="A129" s="38"/>
      <c r="B129" s="39">
        <v>113</v>
      </c>
      <c r="C129" s="74"/>
      <c r="D129" s="59"/>
      <c r="E129" s="60"/>
      <c r="F129" s="59"/>
      <c r="G129" s="187"/>
      <c r="H129" s="187"/>
      <c r="I129" s="61"/>
      <c r="J129" s="75" t="s">
        <v>21</v>
      </c>
      <c r="K129" s="83"/>
      <c r="L129" s="83"/>
      <c r="M129" s="84"/>
      <c r="N129" s="77" t="s">
        <v>21</v>
      </c>
      <c r="O129" s="83"/>
      <c r="P129" s="83"/>
      <c r="Q129" s="83"/>
      <c r="R129" s="60"/>
    </row>
    <row r="130" spans="1:18" x14ac:dyDescent="0.15">
      <c r="A130" s="38"/>
      <c r="B130" s="39">
        <v>114</v>
      </c>
      <c r="C130" s="66"/>
      <c r="D130" s="67"/>
      <c r="E130" s="68"/>
      <c r="F130" s="67"/>
      <c r="G130" s="188"/>
      <c r="H130" s="188"/>
      <c r="I130" s="69"/>
      <c r="J130" s="70" t="s">
        <v>21</v>
      </c>
      <c r="K130" s="81"/>
      <c r="L130" s="81"/>
      <c r="M130" s="82"/>
      <c r="N130" s="73" t="s">
        <v>21</v>
      </c>
      <c r="O130" s="81"/>
      <c r="P130" s="81"/>
      <c r="Q130" s="81"/>
      <c r="R130" s="68"/>
    </row>
    <row r="131" spans="1:18" x14ac:dyDescent="0.15">
      <c r="A131" s="38"/>
      <c r="B131" s="39">
        <v>115</v>
      </c>
      <c r="C131" s="74"/>
      <c r="D131" s="59"/>
      <c r="E131" s="60"/>
      <c r="F131" s="59"/>
      <c r="G131" s="187"/>
      <c r="H131" s="187"/>
      <c r="I131" s="61"/>
      <c r="J131" s="75" t="s">
        <v>21</v>
      </c>
      <c r="K131" s="83"/>
      <c r="L131" s="83"/>
      <c r="M131" s="84"/>
      <c r="N131" s="77" t="s">
        <v>21</v>
      </c>
      <c r="O131" s="83"/>
      <c r="P131" s="83"/>
      <c r="Q131" s="83"/>
      <c r="R131" s="60"/>
    </row>
    <row r="132" spans="1:18" x14ac:dyDescent="0.15">
      <c r="A132" s="38"/>
      <c r="B132" s="39">
        <v>116</v>
      </c>
      <c r="C132" s="66"/>
      <c r="D132" s="67"/>
      <c r="E132" s="68"/>
      <c r="F132" s="67"/>
      <c r="G132" s="188"/>
      <c r="H132" s="188"/>
      <c r="I132" s="69"/>
      <c r="J132" s="70" t="s">
        <v>21</v>
      </c>
      <c r="K132" s="81"/>
      <c r="L132" s="81"/>
      <c r="M132" s="82"/>
      <c r="N132" s="73" t="s">
        <v>21</v>
      </c>
      <c r="O132" s="81"/>
      <c r="P132" s="81"/>
      <c r="Q132" s="81"/>
      <c r="R132" s="68"/>
    </row>
    <row r="133" spans="1:18" x14ac:dyDescent="0.15">
      <c r="A133" s="38"/>
      <c r="B133" s="39">
        <v>117</v>
      </c>
      <c r="C133" s="74"/>
      <c r="D133" s="59"/>
      <c r="E133" s="60"/>
      <c r="F133" s="59"/>
      <c r="G133" s="187"/>
      <c r="H133" s="187"/>
      <c r="I133" s="61"/>
      <c r="J133" s="75" t="s">
        <v>21</v>
      </c>
      <c r="K133" s="83"/>
      <c r="L133" s="83"/>
      <c r="M133" s="84"/>
      <c r="N133" s="77" t="s">
        <v>21</v>
      </c>
      <c r="O133" s="83"/>
      <c r="P133" s="83"/>
      <c r="Q133" s="83"/>
      <c r="R133" s="60"/>
    </row>
    <row r="134" spans="1:18" x14ac:dyDescent="0.15">
      <c r="A134" s="38"/>
      <c r="B134" s="39">
        <v>118</v>
      </c>
      <c r="C134" s="66"/>
      <c r="D134" s="67"/>
      <c r="E134" s="68"/>
      <c r="F134" s="67"/>
      <c r="G134" s="188"/>
      <c r="H134" s="188"/>
      <c r="I134" s="69"/>
      <c r="J134" s="70" t="s">
        <v>21</v>
      </c>
      <c r="K134" s="81"/>
      <c r="L134" s="81"/>
      <c r="M134" s="82"/>
      <c r="N134" s="73" t="s">
        <v>21</v>
      </c>
      <c r="O134" s="81"/>
      <c r="P134" s="81"/>
      <c r="Q134" s="81"/>
      <c r="R134" s="68"/>
    </row>
    <row r="135" spans="1:18" x14ac:dyDescent="0.15">
      <c r="A135" s="38"/>
      <c r="B135" s="39">
        <v>119</v>
      </c>
      <c r="C135" s="74"/>
      <c r="D135" s="59"/>
      <c r="E135" s="60"/>
      <c r="F135" s="59"/>
      <c r="G135" s="187"/>
      <c r="H135" s="187"/>
      <c r="I135" s="61"/>
      <c r="J135" s="75" t="s">
        <v>21</v>
      </c>
      <c r="K135" s="83"/>
      <c r="L135" s="83"/>
      <c r="M135" s="84"/>
      <c r="N135" s="77" t="s">
        <v>21</v>
      </c>
      <c r="O135" s="83"/>
      <c r="P135" s="83"/>
      <c r="Q135" s="83"/>
      <c r="R135" s="60"/>
    </row>
    <row r="136" spans="1:18" x14ac:dyDescent="0.15">
      <c r="A136" s="38"/>
      <c r="B136" s="39">
        <v>120</v>
      </c>
      <c r="C136" s="66"/>
      <c r="D136" s="67"/>
      <c r="E136" s="68"/>
      <c r="F136" s="67"/>
      <c r="G136" s="188"/>
      <c r="H136" s="188"/>
      <c r="I136" s="69"/>
      <c r="J136" s="70" t="s">
        <v>21</v>
      </c>
      <c r="K136" s="81"/>
      <c r="L136" s="81"/>
      <c r="M136" s="82"/>
      <c r="N136" s="73" t="s">
        <v>21</v>
      </c>
      <c r="O136" s="81"/>
      <c r="P136" s="81"/>
      <c r="Q136" s="81"/>
      <c r="R136" s="68"/>
    </row>
    <row r="137" spans="1:18" x14ac:dyDescent="0.15">
      <c r="A137" s="38"/>
      <c r="B137" s="39">
        <v>121</v>
      </c>
      <c r="C137" s="74"/>
      <c r="D137" s="59"/>
      <c r="E137" s="60"/>
      <c r="F137" s="59"/>
      <c r="G137" s="187"/>
      <c r="H137" s="187"/>
      <c r="I137" s="61"/>
      <c r="J137" s="75" t="s">
        <v>21</v>
      </c>
      <c r="K137" s="83"/>
      <c r="L137" s="83"/>
      <c r="M137" s="84"/>
      <c r="N137" s="77" t="s">
        <v>21</v>
      </c>
      <c r="O137" s="83"/>
      <c r="P137" s="83"/>
      <c r="Q137" s="83"/>
      <c r="R137" s="60"/>
    </row>
    <row r="138" spans="1:18" x14ac:dyDescent="0.15">
      <c r="A138" s="38"/>
      <c r="B138" s="39">
        <v>122</v>
      </c>
      <c r="C138" s="66"/>
      <c r="D138" s="67"/>
      <c r="E138" s="68"/>
      <c r="F138" s="67"/>
      <c r="G138" s="188"/>
      <c r="H138" s="188"/>
      <c r="I138" s="69"/>
      <c r="J138" s="70" t="s">
        <v>21</v>
      </c>
      <c r="K138" s="81"/>
      <c r="L138" s="81"/>
      <c r="M138" s="82"/>
      <c r="N138" s="73" t="s">
        <v>21</v>
      </c>
      <c r="O138" s="81"/>
      <c r="P138" s="81"/>
      <c r="Q138" s="81"/>
      <c r="R138" s="68"/>
    </row>
    <row r="139" spans="1:18" x14ac:dyDescent="0.15">
      <c r="A139" s="38"/>
      <c r="B139" s="39">
        <v>123</v>
      </c>
      <c r="C139" s="74"/>
      <c r="D139" s="59"/>
      <c r="E139" s="60"/>
      <c r="F139" s="59"/>
      <c r="G139" s="187"/>
      <c r="H139" s="187"/>
      <c r="I139" s="61"/>
      <c r="J139" s="75" t="s">
        <v>21</v>
      </c>
      <c r="K139" s="83"/>
      <c r="L139" s="83"/>
      <c r="M139" s="84"/>
      <c r="N139" s="77" t="s">
        <v>21</v>
      </c>
      <c r="O139" s="83"/>
      <c r="P139" s="83"/>
      <c r="Q139" s="83"/>
      <c r="R139" s="60"/>
    </row>
    <row r="140" spans="1:18" x14ac:dyDescent="0.15">
      <c r="A140" s="38"/>
      <c r="B140" s="39">
        <v>124</v>
      </c>
      <c r="C140" s="66"/>
      <c r="D140" s="67"/>
      <c r="E140" s="68"/>
      <c r="F140" s="67"/>
      <c r="G140" s="188"/>
      <c r="H140" s="188"/>
      <c r="I140" s="69"/>
      <c r="J140" s="70" t="s">
        <v>21</v>
      </c>
      <c r="K140" s="81"/>
      <c r="L140" s="81"/>
      <c r="M140" s="82"/>
      <c r="N140" s="73" t="s">
        <v>21</v>
      </c>
      <c r="O140" s="81"/>
      <c r="P140" s="81"/>
      <c r="Q140" s="81"/>
      <c r="R140" s="68"/>
    </row>
    <row r="141" spans="1:18" x14ac:dyDescent="0.15">
      <c r="A141" s="38"/>
      <c r="B141" s="39">
        <v>125</v>
      </c>
      <c r="C141" s="74"/>
      <c r="D141" s="59"/>
      <c r="E141" s="60"/>
      <c r="F141" s="59"/>
      <c r="G141" s="187"/>
      <c r="H141" s="187"/>
      <c r="I141" s="61"/>
      <c r="J141" s="75" t="s">
        <v>21</v>
      </c>
      <c r="K141" s="83"/>
      <c r="L141" s="83"/>
      <c r="M141" s="84"/>
      <c r="N141" s="77" t="s">
        <v>21</v>
      </c>
      <c r="O141" s="83"/>
      <c r="P141" s="83"/>
      <c r="Q141" s="83"/>
      <c r="R141" s="60"/>
    </row>
    <row r="142" spans="1:18" x14ac:dyDescent="0.15">
      <c r="A142" s="38"/>
      <c r="B142" s="39">
        <v>126</v>
      </c>
      <c r="C142" s="66"/>
      <c r="D142" s="67"/>
      <c r="E142" s="68"/>
      <c r="F142" s="67"/>
      <c r="G142" s="188"/>
      <c r="H142" s="188"/>
      <c r="I142" s="69"/>
      <c r="J142" s="70" t="s">
        <v>21</v>
      </c>
      <c r="K142" s="81"/>
      <c r="L142" s="81"/>
      <c r="M142" s="82"/>
      <c r="N142" s="73" t="s">
        <v>21</v>
      </c>
      <c r="O142" s="81"/>
      <c r="P142" s="81"/>
      <c r="Q142" s="81"/>
      <c r="R142" s="68"/>
    </row>
    <row r="143" spans="1:18" x14ac:dyDescent="0.15">
      <c r="A143" s="38"/>
      <c r="B143" s="39">
        <v>127</v>
      </c>
      <c r="C143" s="74"/>
      <c r="D143" s="59"/>
      <c r="E143" s="60"/>
      <c r="F143" s="59"/>
      <c r="G143" s="187"/>
      <c r="H143" s="187"/>
      <c r="I143" s="61"/>
      <c r="J143" s="75" t="s">
        <v>21</v>
      </c>
      <c r="K143" s="83"/>
      <c r="L143" s="83"/>
      <c r="M143" s="84"/>
      <c r="N143" s="77" t="s">
        <v>21</v>
      </c>
      <c r="O143" s="83"/>
      <c r="P143" s="83"/>
      <c r="Q143" s="83"/>
      <c r="R143" s="60"/>
    </row>
    <row r="144" spans="1:18" x14ac:dyDescent="0.15">
      <c r="A144" s="38"/>
      <c r="B144" s="39">
        <v>128</v>
      </c>
      <c r="C144" s="66"/>
      <c r="D144" s="67"/>
      <c r="E144" s="68"/>
      <c r="F144" s="67"/>
      <c r="G144" s="188"/>
      <c r="H144" s="188"/>
      <c r="I144" s="69"/>
      <c r="J144" s="70" t="s">
        <v>21</v>
      </c>
      <c r="K144" s="81"/>
      <c r="L144" s="81"/>
      <c r="M144" s="82"/>
      <c r="N144" s="73" t="s">
        <v>21</v>
      </c>
      <c r="O144" s="81"/>
      <c r="P144" s="81"/>
      <c r="Q144" s="81"/>
      <c r="R144" s="68"/>
    </row>
    <row r="145" spans="1:18" x14ac:dyDescent="0.15">
      <c r="A145" s="38"/>
      <c r="B145" s="39">
        <v>129</v>
      </c>
      <c r="C145" s="74"/>
      <c r="D145" s="59"/>
      <c r="E145" s="60"/>
      <c r="F145" s="59"/>
      <c r="G145" s="187"/>
      <c r="H145" s="187"/>
      <c r="I145" s="61"/>
      <c r="J145" s="75" t="s">
        <v>21</v>
      </c>
      <c r="K145" s="83"/>
      <c r="L145" s="83"/>
      <c r="M145" s="84"/>
      <c r="N145" s="77" t="s">
        <v>21</v>
      </c>
      <c r="O145" s="83"/>
      <c r="P145" s="83"/>
      <c r="Q145" s="83"/>
      <c r="R145" s="60"/>
    </row>
    <row r="146" spans="1:18" x14ac:dyDescent="0.15">
      <c r="A146" s="38"/>
      <c r="B146" s="39">
        <v>130</v>
      </c>
      <c r="C146" s="66"/>
      <c r="D146" s="67"/>
      <c r="E146" s="68"/>
      <c r="F146" s="67"/>
      <c r="G146" s="188"/>
      <c r="H146" s="188"/>
      <c r="I146" s="69"/>
      <c r="J146" s="70" t="s">
        <v>21</v>
      </c>
      <c r="K146" s="81"/>
      <c r="L146" s="81"/>
      <c r="M146" s="82"/>
      <c r="N146" s="73" t="s">
        <v>21</v>
      </c>
      <c r="O146" s="81"/>
      <c r="P146" s="81"/>
      <c r="Q146" s="81"/>
      <c r="R146" s="68"/>
    </row>
    <row r="147" spans="1:18" x14ac:dyDescent="0.15">
      <c r="A147" s="38"/>
      <c r="B147" s="39">
        <v>131</v>
      </c>
      <c r="C147" s="74"/>
      <c r="D147" s="59"/>
      <c r="E147" s="60"/>
      <c r="F147" s="59"/>
      <c r="G147" s="187"/>
      <c r="H147" s="187"/>
      <c r="I147" s="61"/>
      <c r="J147" s="75" t="s">
        <v>21</v>
      </c>
      <c r="K147" s="83"/>
      <c r="L147" s="83"/>
      <c r="M147" s="84"/>
      <c r="N147" s="77" t="s">
        <v>21</v>
      </c>
      <c r="O147" s="83"/>
      <c r="P147" s="83"/>
      <c r="Q147" s="83"/>
      <c r="R147" s="60"/>
    </row>
    <row r="148" spans="1:18" x14ac:dyDescent="0.15">
      <c r="A148" s="38"/>
      <c r="B148" s="39">
        <v>132</v>
      </c>
      <c r="C148" s="66"/>
      <c r="D148" s="67"/>
      <c r="E148" s="68"/>
      <c r="F148" s="67"/>
      <c r="G148" s="188"/>
      <c r="H148" s="188"/>
      <c r="I148" s="69"/>
      <c r="J148" s="70" t="s">
        <v>21</v>
      </c>
      <c r="K148" s="81"/>
      <c r="L148" s="81"/>
      <c r="M148" s="82"/>
      <c r="N148" s="73" t="s">
        <v>21</v>
      </c>
      <c r="O148" s="81"/>
      <c r="P148" s="81"/>
      <c r="Q148" s="81"/>
      <c r="R148" s="68"/>
    </row>
    <row r="149" spans="1:18" x14ac:dyDescent="0.15">
      <c r="A149" s="38"/>
      <c r="B149" s="39">
        <v>133</v>
      </c>
      <c r="C149" s="74"/>
      <c r="D149" s="59"/>
      <c r="E149" s="60"/>
      <c r="F149" s="59"/>
      <c r="G149" s="187"/>
      <c r="H149" s="187"/>
      <c r="I149" s="61"/>
      <c r="J149" s="75" t="s">
        <v>21</v>
      </c>
      <c r="K149" s="83"/>
      <c r="L149" s="83"/>
      <c r="M149" s="84"/>
      <c r="N149" s="77" t="s">
        <v>21</v>
      </c>
      <c r="O149" s="83"/>
      <c r="P149" s="83"/>
      <c r="Q149" s="83"/>
      <c r="R149" s="60"/>
    </row>
    <row r="150" spans="1:18" x14ac:dyDescent="0.15">
      <c r="A150" s="38"/>
      <c r="B150" s="39">
        <v>134</v>
      </c>
      <c r="C150" s="66"/>
      <c r="D150" s="67"/>
      <c r="E150" s="68"/>
      <c r="F150" s="67"/>
      <c r="G150" s="188"/>
      <c r="H150" s="188"/>
      <c r="I150" s="69"/>
      <c r="J150" s="70" t="s">
        <v>21</v>
      </c>
      <c r="K150" s="81"/>
      <c r="L150" s="81"/>
      <c r="M150" s="82"/>
      <c r="N150" s="73" t="s">
        <v>21</v>
      </c>
      <c r="O150" s="81"/>
      <c r="P150" s="81"/>
      <c r="Q150" s="81"/>
      <c r="R150" s="68"/>
    </row>
    <row r="151" spans="1:18" x14ac:dyDescent="0.15">
      <c r="A151" s="38"/>
      <c r="B151" s="39">
        <v>135</v>
      </c>
      <c r="C151" s="74"/>
      <c r="D151" s="59"/>
      <c r="E151" s="60"/>
      <c r="F151" s="59"/>
      <c r="G151" s="187"/>
      <c r="H151" s="187"/>
      <c r="I151" s="61"/>
      <c r="J151" s="75" t="s">
        <v>21</v>
      </c>
      <c r="K151" s="83"/>
      <c r="L151" s="83"/>
      <c r="M151" s="84"/>
      <c r="N151" s="77" t="s">
        <v>21</v>
      </c>
      <c r="O151" s="83"/>
      <c r="P151" s="83"/>
      <c r="Q151" s="83"/>
      <c r="R151" s="60"/>
    </row>
    <row r="152" spans="1:18" x14ac:dyDescent="0.15">
      <c r="A152" s="38"/>
      <c r="B152" s="39">
        <v>136</v>
      </c>
      <c r="C152" s="66"/>
      <c r="D152" s="67"/>
      <c r="E152" s="68"/>
      <c r="F152" s="67"/>
      <c r="G152" s="188"/>
      <c r="H152" s="188"/>
      <c r="I152" s="69"/>
      <c r="J152" s="70" t="s">
        <v>21</v>
      </c>
      <c r="K152" s="81"/>
      <c r="L152" s="81"/>
      <c r="M152" s="82"/>
      <c r="N152" s="73" t="s">
        <v>21</v>
      </c>
      <c r="O152" s="81"/>
      <c r="P152" s="81"/>
      <c r="Q152" s="81"/>
      <c r="R152" s="68"/>
    </row>
    <row r="153" spans="1:18" x14ac:dyDescent="0.15">
      <c r="A153" s="38"/>
      <c r="B153" s="39">
        <v>137</v>
      </c>
      <c r="C153" s="74"/>
      <c r="D153" s="59"/>
      <c r="E153" s="60"/>
      <c r="F153" s="59"/>
      <c r="G153" s="187"/>
      <c r="H153" s="187"/>
      <c r="I153" s="61"/>
      <c r="J153" s="75" t="s">
        <v>21</v>
      </c>
      <c r="K153" s="83"/>
      <c r="L153" s="83"/>
      <c r="M153" s="84"/>
      <c r="N153" s="77" t="s">
        <v>21</v>
      </c>
      <c r="O153" s="83"/>
      <c r="P153" s="83"/>
      <c r="Q153" s="83"/>
      <c r="R153" s="60"/>
    </row>
    <row r="154" spans="1:18" x14ac:dyDescent="0.15">
      <c r="A154" s="38"/>
      <c r="B154" s="39">
        <v>138</v>
      </c>
      <c r="C154" s="66"/>
      <c r="D154" s="67"/>
      <c r="E154" s="68"/>
      <c r="F154" s="67"/>
      <c r="G154" s="188"/>
      <c r="H154" s="188"/>
      <c r="I154" s="69"/>
      <c r="J154" s="70" t="s">
        <v>21</v>
      </c>
      <c r="K154" s="81"/>
      <c r="L154" s="81"/>
      <c r="M154" s="82"/>
      <c r="N154" s="73" t="s">
        <v>21</v>
      </c>
      <c r="O154" s="81"/>
      <c r="P154" s="81"/>
      <c r="Q154" s="81"/>
      <c r="R154" s="68"/>
    </row>
    <row r="155" spans="1:18" x14ac:dyDescent="0.15">
      <c r="A155" s="38"/>
      <c r="B155" s="39">
        <v>139</v>
      </c>
      <c r="C155" s="74"/>
      <c r="D155" s="59"/>
      <c r="E155" s="60"/>
      <c r="F155" s="59"/>
      <c r="G155" s="187"/>
      <c r="H155" s="187"/>
      <c r="I155" s="61"/>
      <c r="J155" s="75" t="s">
        <v>21</v>
      </c>
      <c r="K155" s="83"/>
      <c r="L155" s="83"/>
      <c r="M155" s="84"/>
      <c r="N155" s="77" t="s">
        <v>21</v>
      </c>
      <c r="O155" s="83"/>
      <c r="P155" s="83"/>
      <c r="Q155" s="83"/>
      <c r="R155" s="60"/>
    </row>
    <row r="156" spans="1:18" x14ac:dyDescent="0.15">
      <c r="A156" s="38"/>
      <c r="B156" s="39">
        <v>140</v>
      </c>
      <c r="C156" s="66"/>
      <c r="D156" s="67"/>
      <c r="E156" s="68"/>
      <c r="F156" s="67"/>
      <c r="G156" s="188"/>
      <c r="H156" s="188"/>
      <c r="I156" s="69"/>
      <c r="J156" s="70" t="s">
        <v>21</v>
      </c>
      <c r="K156" s="81"/>
      <c r="L156" s="81"/>
      <c r="M156" s="82"/>
      <c r="N156" s="73" t="s">
        <v>21</v>
      </c>
      <c r="O156" s="81"/>
      <c r="P156" s="81"/>
      <c r="Q156" s="81"/>
      <c r="R156" s="68"/>
    </row>
    <row r="157" spans="1:18" x14ac:dyDescent="0.15">
      <c r="A157" s="38"/>
      <c r="B157" s="39">
        <v>141</v>
      </c>
      <c r="C157" s="74"/>
      <c r="D157" s="59"/>
      <c r="E157" s="60"/>
      <c r="F157" s="59"/>
      <c r="G157" s="187"/>
      <c r="H157" s="187"/>
      <c r="I157" s="61"/>
      <c r="J157" s="75" t="s">
        <v>21</v>
      </c>
      <c r="K157" s="83"/>
      <c r="L157" s="83"/>
      <c r="M157" s="84"/>
      <c r="N157" s="77" t="s">
        <v>21</v>
      </c>
      <c r="O157" s="83"/>
      <c r="P157" s="83"/>
      <c r="Q157" s="83"/>
      <c r="R157" s="60"/>
    </row>
    <row r="158" spans="1:18" x14ac:dyDescent="0.15">
      <c r="A158" s="38"/>
      <c r="B158" s="39">
        <v>142</v>
      </c>
      <c r="C158" s="66"/>
      <c r="D158" s="67"/>
      <c r="E158" s="68"/>
      <c r="F158" s="67"/>
      <c r="G158" s="188"/>
      <c r="H158" s="188"/>
      <c r="I158" s="69"/>
      <c r="J158" s="70" t="s">
        <v>21</v>
      </c>
      <c r="K158" s="81"/>
      <c r="L158" s="81"/>
      <c r="M158" s="82"/>
      <c r="N158" s="73" t="s">
        <v>21</v>
      </c>
      <c r="O158" s="81"/>
      <c r="P158" s="81"/>
      <c r="Q158" s="81"/>
      <c r="R158" s="68"/>
    </row>
    <row r="159" spans="1:18" x14ac:dyDescent="0.15">
      <c r="A159" s="38"/>
      <c r="B159" s="39">
        <v>143</v>
      </c>
      <c r="C159" s="74"/>
      <c r="D159" s="59"/>
      <c r="E159" s="60"/>
      <c r="F159" s="59"/>
      <c r="G159" s="187"/>
      <c r="H159" s="187"/>
      <c r="I159" s="61"/>
      <c r="J159" s="75" t="s">
        <v>21</v>
      </c>
      <c r="K159" s="83"/>
      <c r="L159" s="83"/>
      <c r="M159" s="84"/>
      <c r="N159" s="77" t="s">
        <v>21</v>
      </c>
      <c r="O159" s="83"/>
      <c r="P159" s="83"/>
      <c r="Q159" s="83"/>
      <c r="R159" s="60"/>
    </row>
    <row r="160" spans="1:18" x14ac:dyDescent="0.15">
      <c r="A160" s="38"/>
      <c r="B160" s="39">
        <v>144</v>
      </c>
      <c r="C160" s="66"/>
      <c r="D160" s="67"/>
      <c r="E160" s="68"/>
      <c r="F160" s="67"/>
      <c r="G160" s="188"/>
      <c r="H160" s="188"/>
      <c r="I160" s="69"/>
      <c r="J160" s="70" t="s">
        <v>21</v>
      </c>
      <c r="K160" s="81"/>
      <c r="L160" s="81"/>
      <c r="M160" s="82"/>
      <c r="N160" s="73" t="s">
        <v>21</v>
      </c>
      <c r="O160" s="81"/>
      <c r="P160" s="81"/>
      <c r="Q160" s="81"/>
      <c r="R160" s="68"/>
    </row>
    <row r="161" spans="1:18" x14ac:dyDescent="0.15">
      <c r="A161" s="38"/>
      <c r="B161" s="39">
        <v>145</v>
      </c>
      <c r="C161" s="74"/>
      <c r="D161" s="59"/>
      <c r="E161" s="60"/>
      <c r="F161" s="59"/>
      <c r="G161" s="187"/>
      <c r="H161" s="187"/>
      <c r="I161" s="61"/>
      <c r="J161" s="75" t="s">
        <v>21</v>
      </c>
      <c r="K161" s="83"/>
      <c r="L161" s="83"/>
      <c r="M161" s="84"/>
      <c r="N161" s="77" t="s">
        <v>21</v>
      </c>
      <c r="O161" s="83"/>
      <c r="P161" s="83"/>
      <c r="Q161" s="83"/>
      <c r="R161" s="60"/>
    </row>
    <row r="162" spans="1:18" x14ac:dyDescent="0.15">
      <c r="A162" s="38"/>
      <c r="B162" s="39">
        <v>146</v>
      </c>
      <c r="C162" s="66"/>
      <c r="D162" s="67"/>
      <c r="E162" s="68"/>
      <c r="F162" s="67"/>
      <c r="G162" s="188"/>
      <c r="H162" s="188"/>
      <c r="I162" s="69"/>
      <c r="J162" s="70" t="s">
        <v>21</v>
      </c>
      <c r="K162" s="81"/>
      <c r="L162" s="81"/>
      <c r="M162" s="82"/>
      <c r="N162" s="73" t="s">
        <v>21</v>
      </c>
      <c r="O162" s="81"/>
      <c r="P162" s="81"/>
      <c r="Q162" s="81"/>
      <c r="R162" s="68"/>
    </row>
    <row r="163" spans="1:18" x14ac:dyDescent="0.15">
      <c r="A163" s="38"/>
      <c r="B163" s="39">
        <v>147</v>
      </c>
      <c r="C163" s="74"/>
      <c r="D163" s="59"/>
      <c r="E163" s="60"/>
      <c r="F163" s="59"/>
      <c r="G163" s="187"/>
      <c r="H163" s="187"/>
      <c r="I163" s="61"/>
      <c r="J163" s="75" t="s">
        <v>21</v>
      </c>
      <c r="K163" s="83"/>
      <c r="L163" s="83"/>
      <c r="M163" s="84"/>
      <c r="N163" s="77" t="s">
        <v>21</v>
      </c>
      <c r="O163" s="83"/>
      <c r="P163" s="83"/>
      <c r="Q163" s="83"/>
      <c r="R163" s="60"/>
    </row>
    <row r="164" spans="1:18" x14ac:dyDescent="0.15">
      <c r="A164" s="38"/>
      <c r="B164" s="39">
        <v>148</v>
      </c>
      <c r="C164" s="66"/>
      <c r="D164" s="67"/>
      <c r="E164" s="68"/>
      <c r="F164" s="67"/>
      <c r="G164" s="188"/>
      <c r="H164" s="188"/>
      <c r="I164" s="69"/>
      <c r="J164" s="70" t="s">
        <v>21</v>
      </c>
      <c r="K164" s="81"/>
      <c r="L164" s="81"/>
      <c r="M164" s="82"/>
      <c r="N164" s="73" t="s">
        <v>21</v>
      </c>
      <c r="O164" s="81"/>
      <c r="P164" s="81"/>
      <c r="Q164" s="81"/>
      <c r="R164" s="68"/>
    </row>
    <row r="165" spans="1:18" x14ac:dyDescent="0.15">
      <c r="A165" s="38"/>
      <c r="B165" s="39">
        <v>149</v>
      </c>
      <c r="C165" s="74"/>
      <c r="D165" s="59"/>
      <c r="E165" s="60"/>
      <c r="F165" s="59"/>
      <c r="G165" s="187"/>
      <c r="H165" s="187"/>
      <c r="I165" s="61"/>
      <c r="J165" s="75" t="s">
        <v>21</v>
      </c>
      <c r="K165" s="83"/>
      <c r="L165" s="83"/>
      <c r="M165" s="84"/>
      <c r="N165" s="77" t="s">
        <v>21</v>
      </c>
      <c r="O165" s="83"/>
      <c r="P165" s="83"/>
      <c r="Q165" s="83"/>
      <c r="R165" s="60"/>
    </row>
    <row r="166" spans="1:18" x14ac:dyDescent="0.15">
      <c r="A166" s="38"/>
      <c r="B166" s="39">
        <v>150</v>
      </c>
      <c r="C166" s="66"/>
      <c r="D166" s="67"/>
      <c r="E166" s="68"/>
      <c r="F166" s="67"/>
      <c r="G166" s="188"/>
      <c r="H166" s="188"/>
      <c r="I166" s="69"/>
      <c r="J166" s="70" t="s">
        <v>21</v>
      </c>
      <c r="K166" s="81"/>
      <c r="L166" s="81"/>
      <c r="M166" s="82"/>
      <c r="N166" s="73" t="s">
        <v>21</v>
      </c>
      <c r="O166" s="81"/>
      <c r="P166" s="81"/>
      <c r="Q166" s="81"/>
      <c r="R166" s="68"/>
    </row>
    <row r="167" spans="1:18" ht="15" thickBot="1" x14ac:dyDescent="0.2">
      <c r="A167" s="38"/>
      <c r="B167" s="39">
        <v>151</v>
      </c>
      <c r="C167" s="85"/>
      <c r="D167" s="86"/>
      <c r="E167" s="87"/>
      <c r="F167" s="86"/>
      <c r="G167" s="189"/>
      <c r="H167" s="189"/>
      <c r="I167" s="88"/>
      <c r="J167" s="89" t="s">
        <v>21</v>
      </c>
      <c r="K167" s="90"/>
      <c r="L167" s="90"/>
      <c r="M167" s="91"/>
      <c r="N167" s="92" t="s">
        <v>21</v>
      </c>
      <c r="O167" s="90"/>
      <c r="P167" s="90"/>
      <c r="Q167" s="90"/>
      <c r="R167" s="87"/>
    </row>
    <row r="169" spans="1:18" ht="15" thickBot="1" x14ac:dyDescent="0.2"/>
    <row r="170" spans="1:18" x14ac:dyDescent="0.15">
      <c r="N170" s="215" t="s">
        <v>102</v>
      </c>
      <c r="O170" s="216"/>
      <c r="P170" s="217"/>
    </row>
    <row r="171" spans="1:18" x14ac:dyDescent="0.15">
      <c r="N171" s="218"/>
      <c r="O171" s="219"/>
      <c r="P171" s="220"/>
    </row>
    <row r="172" spans="1:18" ht="24.75" customHeight="1" x14ac:dyDescent="0.15">
      <c r="N172" s="218"/>
      <c r="O172" s="219"/>
      <c r="P172" s="220"/>
    </row>
    <row r="173" spans="1:18" ht="15" thickBot="1" x14ac:dyDescent="0.2"/>
    <row r="174" spans="1:18" ht="21.75" customHeight="1" x14ac:dyDescent="0.15">
      <c r="N174" s="241" t="s">
        <v>94</v>
      </c>
      <c r="O174" s="242"/>
      <c r="P174" s="243"/>
    </row>
    <row r="175" spans="1:18" ht="15" thickBot="1" x14ac:dyDescent="0.2">
      <c r="N175" s="244"/>
      <c r="O175" s="245"/>
      <c r="P175" s="246"/>
    </row>
  </sheetData>
  <sheetProtection formatCells="0" formatColumns="0" formatRows="0" insertColumns="0" insertRows="0" insertHyperlinks="0" deleteColumns="0" deleteRows="0" sort="0" autoFilter="0" pivotTables="0"/>
  <mergeCells count="11">
    <mergeCell ref="N3:P4"/>
    <mergeCell ref="N6:P8"/>
    <mergeCell ref="N10:P10"/>
    <mergeCell ref="N13:R13"/>
    <mergeCell ref="N174:P175"/>
    <mergeCell ref="F15:G15"/>
    <mergeCell ref="J13:M13"/>
    <mergeCell ref="A16:B16"/>
    <mergeCell ref="N170:P172"/>
    <mergeCell ref="F14:G14"/>
    <mergeCell ref="C13:I13"/>
  </mergeCells>
  <dataValidations count="5">
    <dataValidation type="list" showInputMessage="1" showErrorMessage="1" sqref="J17:J167" xr:uid="{00000000-0002-0000-0100-000000000000}">
      <formula1>Mitglied_neu</formula1>
    </dataValidation>
    <dataValidation type="list" allowBlank="1" showInputMessage="1" showErrorMessage="1" sqref="K17:M167 K16:L16" xr:uid="{00000000-0002-0000-0100-000001000000}">
      <formula1>Sportart_AG</formula1>
    </dataValidation>
    <dataValidation type="list" allowBlank="1" showInputMessage="1" showErrorMessage="1" sqref="N17:N167" xr:uid="{00000000-0002-0000-0100-000002000000}">
      <formula1>Mitglied_neu</formula1>
    </dataValidation>
    <dataValidation type="list" allowBlank="1" showInputMessage="1" showErrorMessage="1" sqref="O17:Q167 O16" xr:uid="{00000000-0002-0000-0100-000003000000}">
      <formula1>Sportart_Verein</formula1>
    </dataValidation>
    <dataValidation type="list" allowBlank="1" showInputMessage="1" showErrorMessage="1" sqref="D17:D167" xr:uid="{00000000-0002-0000-0100-000004000000}">
      <formula1>"w, m"</formula1>
    </dataValidation>
  </dataValidations>
  <hyperlinks>
    <hyperlink ref="N6:P8" location="'TEST-Daten'!D17" tooltip="Durch Klicken gelangen Sie zur Eingabe der Test-Daten." display="→ weiter zur Eingabe der                 Test-Daten" xr:uid="{00000000-0004-0000-0100-000000000000}"/>
    <hyperlink ref="N3:P4" location="'Hilfe zur Dateneingabe'!A1" tooltip="Durch Klicken gelangen Sie zum &quot;Totorial Dateneingabe&quot;." display="Hilfe zur Dateneingabe" xr:uid="{00000000-0004-0000-0100-000001000000}"/>
    <hyperlink ref="N170:P172" location="'TEST-Daten'!D17" tooltip="Durch Klicken gelangen Sie zur Eingabe der Test-Daten." display="→ weiter zur Eingabe der                 Test-Daten" xr:uid="{00000000-0004-0000-0100-000002000000}"/>
    <hyperlink ref="N10:P10" location="Startseite!A1" display="zurück zur Startseite" xr:uid="{00000000-0004-0000-0100-000003000000}"/>
    <hyperlink ref="N174:P175" location="Startseite!A1" display="← zurück zur Startseite" xr:uid="{00000000-0004-0000-0100-000004000000}"/>
  </hyperlinks>
  <pageMargins left="0.70866141732283472" right="0.70866141732283472" top="0.78740157480314965" bottom="0.78740157480314965" header="0.31496062992125984" footer="0.31496062992125984"/>
  <pageSetup paperSize="9" fitToWidth="0"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4">
    <tabColor rgb="FF6FCC0D"/>
  </sheetPr>
  <dimension ref="A5:N204"/>
  <sheetViews>
    <sheetView showGridLines="0" showZeros="0" topLeftCell="A20" zoomScaleNormal="100" workbookViewId="0">
      <selection activeCell="J38" sqref="J38"/>
    </sheetView>
  </sheetViews>
  <sheetFormatPr baseColWidth="10" defaultColWidth="11.5" defaultRowHeight="14" x14ac:dyDescent="0.15"/>
  <cols>
    <col min="1" max="1" width="4.5" style="30" customWidth="1"/>
    <col min="2" max="2" width="5.1640625" style="31" bestFit="1" customWidth="1"/>
    <col min="3" max="3" width="14" style="30" customWidth="1"/>
    <col min="4" max="4" width="16.5" style="93" customWidth="1"/>
    <col min="5" max="5" width="19.5" style="93" customWidth="1"/>
    <col min="6" max="6" width="19.5" style="94" customWidth="1"/>
    <col min="7" max="7" width="19.5" style="95" customWidth="1"/>
    <col min="8" max="8" width="19.5" style="93" customWidth="1"/>
    <col min="9" max="9" width="19.5" style="96" customWidth="1"/>
    <col min="10" max="10" width="19.5" style="30" customWidth="1"/>
    <col min="11" max="11" width="22.5" style="30" customWidth="1"/>
    <col min="12" max="12" width="24.5" style="30" customWidth="1"/>
    <col min="13" max="13" width="19.83203125" style="30" customWidth="1"/>
    <col min="14" max="14" width="39" style="30" customWidth="1"/>
    <col min="15" max="16384" width="11.5" style="30"/>
  </cols>
  <sheetData>
    <row r="5" spans="1:14" ht="18" x14ac:dyDescent="0.15">
      <c r="I5" s="249" t="s">
        <v>79</v>
      </c>
      <c r="J5" s="250"/>
      <c r="K5" s="97"/>
      <c r="L5" s="97"/>
      <c r="M5" s="97"/>
    </row>
    <row r="6" spans="1:14" ht="15.75" customHeight="1" x14ac:dyDescent="0.15">
      <c r="B6" s="33"/>
      <c r="C6" s="98"/>
      <c r="D6" s="99"/>
      <c r="E6" s="99"/>
      <c r="F6" s="99"/>
      <c r="G6" s="99"/>
      <c r="H6" s="100"/>
      <c r="I6" s="251"/>
      <c r="J6" s="252"/>
      <c r="K6" s="97"/>
      <c r="L6" s="97"/>
      <c r="M6" s="97"/>
    </row>
    <row r="7" spans="1:14" ht="15" thickBot="1" x14ac:dyDescent="0.2">
      <c r="B7" s="33"/>
      <c r="C7" s="98"/>
      <c r="D7" s="99"/>
      <c r="E7" s="99"/>
      <c r="F7" s="99"/>
      <c r="G7" s="99"/>
      <c r="H7" s="100"/>
      <c r="I7" s="101"/>
      <c r="J7" s="102"/>
      <c r="K7" s="102"/>
      <c r="L7" s="102"/>
      <c r="M7" s="102"/>
    </row>
    <row r="8" spans="1:14" ht="23" customHeight="1" x14ac:dyDescent="0.15">
      <c r="B8" s="33"/>
      <c r="C8" s="98"/>
      <c r="D8" s="99"/>
      <c r="E8" s="99"/>
      <c r="F8" s="99"/>
      <c r="G8" s="99"/>
      <c r="H8" s="100"/>
      <c r="I8" s="256" t="s">
        <v>93</v>
      </c>
      <c r="J8" s="258"/>
      <c r="K8" s="103"/>
      <c r="L8" s="103"/>
      <c r="M8" s="103"/>
    </row>
    <row r="9" spans="1:14" ht="19" thickBot="1" x14ac:dyDescent="0.2">
      <c r="B9" s="33"/>
      <c r="C9" s="98"/>
      <c r="D9" s="99"/>
      <c r="E9" s="99"/>
      <c r="F9" s="99"/>
      <c r="G9" s="99"/>
      <c r="H9" s="100"/>
      <c r="I9" s="262"/>
      <c r="J9" s="264"/>
      <c r="K9" s="103"/>
      <c r="L9" s="103"/>
      <c r="M9" s="103"/>
    </row>
    <row r="10" spans="1:14" ht="18.75" customHeight="1" x14ac:dyDescent="0.15">
      <c r="B10" s="33"/>
      <c r="C10" s="98"/>
      <c r="D10" s="99"/>
      <c r="E10" s="99"/>
      <c r="F10" s="99"/>
      <c r="G10" s="99"/>
      <c r="H10" s="100"/>
      <c r="I10" s="253"/>
      <c r="J10" s="253"/>
      <c r="K10" s="104"/>
      <c r="L10" s="104"/>
      <c r="M10" s="104"/>
    </row>
    <row r="11" spans="1:14" ht="56.25" customHeight="1" thickBot="1" x14ac:dyDescent="0.2">
      <c r="B11" s="33"/>
      <c r="C11" s="98"/>
      <c r="D11" s="99"/>
      <c r="E11" s="99"/>
      <c r="F11" s="99"/>
      <c r="G11" s="99"/>
      <c r="H11" s="100"/>
      <c r="I11" s="101"/>
      <c r="J11" s="102"/>
      <c r="K11" s="102"/>
      <c r="L11" s="102"/>
      <c r="M11" s="102"/>
    </row>
    <row r="12" spans="1:14" ht="15" hidden="1" customHeight="1" thickBot="1" x14ac:dyDescent="0.2">
      <c r="B12" s="33"/>
      <c r="E12" s="105"/>
      <c r="F12" s="106"/>
      <c r="G12" s="107"/>
      <c r="H12" s="100"/>
      <c r="I12" s="101"/>
      <c r="J12" s="102"/>
      <c r="K12" s="102"/>
      <c r="L12" s="102"/>
      <c r="M12" s="102"/>
    </row>
    <row r="13" spans="1:14" ht="15" hidden="1" thickBot="1" x14ac:dyDescent="0.2">
      <c r="B13" s="33"/>
    </row>
    <row r="14" spans="1:14" ht="32.25" customHeight="1" x14ac:dyDescent="0.15">
      <c r="B14" s="33"/>
      <c r="C14" s="108" t="s">
        <v>14</v>
      </c>
      <c r="D14" s="109" t="s">
        <v>48</v>
      </c>
      <c r="E14" s="110" t="s">
        <v>42</v>
      </c>
      <c r="F14" s="111" t="s">
        <v>29</v>
      </c>
      <c r="G14" s="112" t="s">
        <v>31</v>
      </c>
      <c r="H14" s="110" t="s">
        <v>89</v>
      </c>
      <c r="I14" s="111" t="s">
        <v>33</v>
      </c>
      <c r="J14" s="113" t="s">
        <v>34</v>
      </c>
      <c r="K14" s="247" t="s">
        <v>103</v>
      </c>
      <c r="L14" s="247" t="s">
        <v>104</v>
      </c>
      <c r="M14" s="247" t="s">
        <v>105</v>
      </c>
      <c r="N14" s="114" t="s">
        <v>40</v>
      </c>
    </row>
    <row r="15" spans="1:14" ht="25.5" customHeight="1" thickBot="1" x14ac:dyDescent="0.2">
      <c r="B15" s="33"/>
      <c r="C15" s="115"/>
      <c r="D15" s="168" t="s">
        <v>49</v>
      </c>
      <c r="E15" s="116" t="s">
        <v>28</v>
      </c>
      <c r="F15" s="117" t="s">
        <v>30</v>
      </c>
      <c r="G15" s="118" t="s">
        <v>32</v>
      </c>
      <c r="H15" s="116" t="s">
        <v>28</v>
      </c>
      <c r="I15" s="117" t="s">
        <v>28</v>
      </c>
      <c r="J15" s="119" t="s">
        <v>106</v>
      </c>
      <c r="K15" s="248"/>
      <c r="L15" s="248"/>
      <c r="M15" s="248"/>
      <c r="N15" s="120" t="s">
        <v>80</v>
      </c>
    </row>
    <row r="16" spans="1:14" ht="36" customHeight="1" x14ac:dyDescent="0.15">
      <c r="A16" s="254" t="s">
        <v>75</v>
      </c>
      <c r="B16" s="255"/>
      <c r="C16" s="121" t="s">
        <v>76</v>
      </c>
      <c r="D16" s="122" t="s">
        <v>52</v>
      </c>
      <c r="E16" s="123">
        <v>4.4000000000000004</v>
      </c>
      <c r="F16" s="124">
        <v>3.9</v>
      </c>
      <c r="G16" s="124">
        <v>129</v>
      </c>
      <c r="H16" s="123">
        <v>25</v>
      </c>
      <c r="I16" s="124">
        <v>28.5</v>
      </c>
      <c r="J16" s="124">
        <v>972</v>
      </c>
      <c r="K16" s="124">
        <v>17</v>
      </c>
      <c r="L16" s="124">
        <v>4</v>
      </c>
      <c r="M16" s="124">
        <v>954</v>
      </c>
      <c r="N16" s="125" t="s">
        <v>87</v>
      </c>
    </row>
    <row r="17" spans="2:14" x14ac:dyDescent="0.15">
      <c r="B17" s="33">
        <v>1</v>
      </c>
      <c r="C17" s="126" t="str">
        <f>Schülerprofil!C17</f>
        <v>B1</v>
      </c>
      <c r="D17" s="127" t="s">
        <v>50</v>
      </c>
      <c r="E17" s="128">
        <v>4.2</v>
      </c>
      <c r="F17" s="129">
        <v>3.7</v>
      </c>
      <c r="G17" s="130">
        <v>140</v>
      </c>
      <c r="H17" s="131">
        <v>10</v>
      </c>
      <c r="I17" s="129">
        <v>31</v>
      </c>
      <c r="J17" s="132">
        <v>972</v>
      </c>
      <c r="K17" s="132"/>
      <c r="L17" s="132"/>
      <c r="M17" s="133"/>
      <c r="N17" s="134"/>
    </row>
    <row r="18" spans="2:14" x14ac:dyDescent="0.15">
      <c r="B18" s="33">
        <v>2</v>
      </c>
      <c r="C18" s="135" t="str">
        <f>Schülerprofil!C18</f>
        <v>B2</v>
      </c>
      <c r="D18" s="136" t="s">
        <v>50</v>
      </c>
      <c r="E18" s="128">
        <v>4.4000000000000004</v>
      </c>
      <c r="F18" s="137">
        <v>4.0999999999999996</v>
      </c>
      <c r="G18" s="138">
        <v>124</v>
      </c>
      <c r="H18" s="139">
        <v>5</v>
      </c>
      <c r="I18" s="137">
        <v>23.7</v>
      </c>
      <c r="J18" s="140">
        <v>1071</v>
      </c>
      <c r="K18" s="140"/>
      <c r="L18" s="140"/>
      <c r="M18" s="141">
        <f t="shared" ref="M18:M81" si="0" xml:space="preserve"> (K18*54)+(L18*9)</f>
        <v>0</v>
      </c>
      <c r="N18" s="142"/>
    </row>
    <row r="19" spans="2:14" x14ac:dyDescent="0.15">
      <c r="B19" s="33">
        <v>3</v>
      </c>
      <c r="C19" s="126" t="str">
        <f>Schülerprofil!C19</f>
        <v>B3</v>
      </c>
      <c r="D19" s="127" t="s">
        <v>50</v>
      </c>
      <c r="E19" s="143">
        <v>3.9</v>
      </c>
      <c r="F19" s="129">
        <v>4</v>
      </c>
      <c r="G19" s="130">
        <v>138</v>
      </c>
      <c r="H19" s="144">
        <v>12</v>
      </c>
      <c r="I19" s="129">
        <v>25.2</v>
      </c>
      <c r="J19" s="132">
        <v>1116</v>
      </c>
      <c r="K19" s="132"/>
      <c r="L19" s="132"/>
      <c r="M19" s="133">
        <f t="shared" si="0"/>
        <v>0</v>
      </c>
      <c r="N19" s="134"/>
    </row>
    <row r="20" spans="2:14" x14ac:dyDescent="0.15">
      <c r="B20" s="33">
        <v>4</v>
      </c>
      <c r="C20" s="135" t="str">
        <f>Schülerprofil!C20</f>
        <v>B4</v>
      </c>
      <c r="D20" s="136" t="s">
        <v>50</v>
      </c>
      <c r="E20" s="128">
        <v>4.3</v>
      </c>
      <c r="F20" s="137">
        <v>3.7</v>
      </c>
      <c r="G20" s="138">
        <v>159</v>
      </c>
      <c r="H20" s="139">
        <v>16</v>
      </c>
      <c r="I20" s="137"/>
      <c r="J20" s="140">
        <v>1296</v>
      </c>
      <c r="K20" s="140"/>
      <c r="L20" s="140"/>
      <c r="M20" s="141">
        <f t="shared" si="0"/>
        <v>0</v>
      </c>
      <c r="N20" s="142"/>
    </row>
    <row r="21" spans="2:14" x14ac:dyDescent="0.15">
      <c r="B21" s="33">
        <v>5</v>
      </c>
      <c r="C21" s="145" t="str">
        <f>Schülerprofil!C21</f>
        <v>B5</v>
      </c>
      <c r="D21" s="127" t="s">
        <v>50</v>
      </c>
      <c r="E21" s="143">
        <v>4.7</v>
      </c>
      <c r="F21" s="129">
        <v>3.9</v>
      </c>
      <c r="G21" s="130">
        <v>128</v>
      </c>
      <c r="H21" s="146">
        <v>14</v>
      </c>
      <c r="I21" s="129">
        <v>25</v>
      </c>
      <c r="J21" s="132">
        <v>918</v>
      </c>
      <c r="K21" s="132"/>
      <c r="L21" s="132"/>
      <c r="M21" s="133">
        <f t="shared" si="0"/>
        <v>0</v>
      </c>
      <c r="N21" s="134"/>
    </row>
    <row r="22" spans="2:14" ht="14.25" customHeight="1" x14ac:dyDescent="0.15">
      <c r="B22" s="33">
        <v>6</v>
      </c>
      <c r="C22" s="135" t="str">
        <f>Schülerprofil!C22</f>
        <v>B6</v>
      </c>
      <c r="D22" s="136" t="s">
        <v>50</v>
      </c>
      <c r="E22" s="128">
        <v>4.3</v>
      </c>
      <c r="F22" s="137">
        <v>4.0999999999999996</v>
      </c>
      <c r="G22" s="138">
        <v>135</v>
      </c>
      <c r="H22" s="139">
        <v>16</v>
      </c>
      <c r="I22" s="137"/>
      <c r="J22" s="140">
        <v>963</v>
      </c>
      <c r="K22" s="140"/>
      <c r="L22" s="140"/>
      <c r="M22" s="141">
        <f t="shared" si="0"/>
        <v>0</v>
      </c>
      <c r="N22" s="142"/>
    </row>
    <row r="23" spans="2:14" x14ac:dyDescent="0.15">
      <c r="B23" s="33">
        <v>7</v>
      </c>
      <c r="C23" s="145" t="str">
        <f>Schülerprofil!C23</f>
        <v>B7</v>
      </c>
      <c r="D23" s="127" t="s">
        <v>53</v>
      </c>
      <c r="E23" s="143">
        <v>3.9</v>
      </c>
      <c r="F23" s="129">
        <v>3.1</v>
      </c>
      <c r="G23" s="130"/>
      <c r="H23" s="144">
        <v>10</v>
      </c>
      <c r="I23" s="129"/>
      <c r="J23" s="132">
        <v>1053</v>
      </c>
      <c r="K23" s="132"/>
      <c r="L23" s="132"/>
      <c r="M23" s="133">
        <f t="shared" si="0"/>
        <v>0</v>
      </c>
      <c r="N23" s="134"/>
    </row>
    <row r="24" spans="2:14" x14ac:dyDescent="0.15">
      <c r="B24" s="33">
        <v>8</v>
      </c>
      <c r="C24" s="147" t="str">
        <f>Schülerprofil!C24</f>
        <v>B8</v>
      </c>
      <c r="D24" s="148" t="s">
        <v>50</v>
      </c>
      <c r="E24" s="143">
        <v>4.2</v>
      </c>
      <c r="F24" s="129">
        <v>3.6</v>
      </c>
      <c r="G24" s="130">
        <v>143</v>
      </c>
      <c r="H24" s="139">
        <v>8</v>
      </c>
      <c r="I24" s="129">
        <v>21.7</v>
      </c>
      <c r="J24" s="140">
        <v>1034</v>
      </c>
      <c r="K24" s="140"/>
      <c r="L24" s="132"/>
      <c r="M24" s="141">
        <f t="shared" si="0"/>
        <v>0</v>
      </c>
      <c r="N24" s="149"/>
    </row>
    <row r="25" spans="2:14" x14ac:dyDescent="0.15">
      <c r="B25" s="33">
        <v>9</v>
      </c>
      <c r="C25" s="145" t="str">
        <f>Schülerprofil!C25</f>
        <v>B9</v>
      </c>
      <c r="D25" s="127" t="s">
        <v>50</v>
      </c>
      <c r="E25" s="143">
        <v>4.9000000000000004</v>
      </c>
      <c r="F25" s="129">
        <v>4.7</v>
      </c>
      <c r="G25" s="130">
        <v>100</v>
      </c>
      <c r="H25" s="144">
        <v>7</v>
      </c>
      <c r="I25" s="129">
        <v>29.7</v>
      </c>
      <c r="J25" s="132">
        <v>756</v>
      </c>
      <c r="K25" s="132"/>
      <c r="L25" s="132"/>
      <c r="M25" s="133">
        <f t="shared" si="0"/>
        <v>0</v>
      </c>
      <c r="N25" s="134"/>
    </row>
    <row r="26" spans="2:14" ht="15" customHeight="1" x14ac:dyDescent="0.15">
      <c r="B26" s="33">
        <v>10</v>
      </c>
      <c r="C26" s="147" t="str">
        <f>Schülerprofil!C26</f>
        <v>B10</v>
      </c>
      <c r="D26" s="148" t="s">
        <v>50</v>
      </c>
      <c r="E26" s="143">
        <v>4.3</v>
      </c>
      <c r="F26" s="129">
        <v>4.3</v>
      </c>
      <c r="G26" s="130">
        <v>112</v>
      </c>
      <c r="H26" s="139">
        <v>19</v>
      </c>
      <c r="I26" s="129"/>
      <c r="J26" s="140">
        <v>1134</v>
      </c>
      <c r="K26" s="140"/>
      <c r="L26" s="132"/>
      <c r="M26" s="141"/>
      <c r="N26" s="149"/>
    </row>
    <row r="27" spans="2:14" x14ac:dyDescent="0.15">
      <c r="B27" s="33">
        <v>11</v>
      </c>
      <c r="C27" s="145" t="str">
        <f>Schülerprofil!C27</f>
        <v>B11</v>
      </c>
      <c r="D27" s="127" t="s">
        <v>50</v>
      </c>
      <c r="E27" s="143">
        <v>4.3</v>
      </c>
      <c r="F27" s="129">
        <v>3.1</v>
      </c>
      <c r="G27" s="130"/>
      <c r="H27" s="144">
        <v>43</v>
      </c>
      <c r="I27" s="129">
        <v>25</v>
      </c>
      <c r="J27" s="132">
        <v>1056</v>
      </c>
      <c r="K27" s="132"/>
      <c r="L27" s="132"/>
      <c r="M27" s="133"/>
      <c r="N27" s="134"/>
    </row>
    <row r="28" spans="2:14" x14ac:dyDescent="0.15">
      <c r="B28" s="33">
        <v>12</v>
      </c>
      <c r="C28" s="147" t="str">
        <f>Schülerprofil!C28</f>
        <v>B12</v>
      </c>
      <c r="D28" s="148" t="s">
        <v>50</v>
      </c>
      <c r="E28" s="143">
        <v>4.7</v>
      </c>
      <c r="F28" s="129">
        <v>3.6</v>
      </c>
      <c r="G28" s="130">
        <v>110</v>
      </c>
      <c r="H28" s="139">
        <v>3</v>
      </c>
      <c r="I28" s="129">
        <v>29.7</v>
      </c>
      <c r="J28" s="140">
        <v>1026</v>
      </c>
      <c r="K28" s="140"/>
      <c r="L28" s="132"/>
      <c r="M28" s="141"/>
      <c r="N28" s="149"/>
    </row>
    <row r="29" spans="2:14" x14ac:dyDescent="0.15">
      <c r="B29" s="33">
        <v>13</v>
      </c>
      <c r="C29" s="145" t="str">
        <f>Schülerprofil!C29</f>
        <v>B13</v>
      </c>
      <c r="D29" s="127" t="s">
        <v>50</v>
      </c>
      <c r="E29" s="143">
        <v>4.5999999999999996</v>
      </c>
      <c r="F29" s="129">
        <v>2.9</v>
      </c>
      <c r="G29" s="130">
        <v>118</v>
      </c>
      <c r="H29" s="144">
        <v>6</v>
      </c>
      <c r="I29" s="129">
        <v>25</v>
      </c>
      <c r="J29" s="132">
        <v>1056</v>
      </c>
      <c r="K29" s="132"/>
      <c r="L29" s="132"/>
      <c r="M29" s="133"/>
      <c r="N29" s="134"/>
    </row>
    <row r="30" spans="2:14" x14ac:dyDescent="0.15">
      <c r="B30" s="33">
        <v>14</v>
      </c>
      <c r="C30" s="147" t="str">
        <f>Schülerprofil!C30</f>
        <v>B14</v>
      </c>
      <c r="D30" s="148" t="s">
        <v>50</v>
      </c>
      <c r="E30" s="143">
        <v>4.3</v>
      </c>
      <c r="F30" s="129">
        <v>3.4</v>
      </c>
      <c r="G30" s="130"/>
      <c r="H30" s="139">
        <v>11</v>
      </c>
      <c r="I30" s="129"/>
      <c r="J30" s="140">
        <v>972</v>
      </c>
      <c r="K30" s="140"/>
      <c r="L30" s="132"/>
      <c r="M30" s="141"/>
      <c r="N30" s="149"/>
    </row>
    <row r="31" spans="2:14" x14ac:dyDescent="0.15">
      <c r="B31" s="33">
        <v>15</v>
      </c>
      <c r="C31" s="145" t="str">
        <f>Schülerprofil!C31</f>
        <v>B15</v>
      </c>
      <c r="D31" s="127" t="s">
        <v>50</v>
      </c>
      <c r="E31" s="143">
        <v>4.0999999999999996</v>
      </c>
      <c r="F31" s="129">
        <v>4.0999999999999996</v>
      </c>
      <c r="G31" s="130"/>
      <c r="H31" s="144">
        <v>13</v>
      </c>
      <c r="I31" s="129">
        <v>23</v>
      </c>
      <c r="J31" s="132">
        <v>1080</v>
      </c>
      <c r="K31" s="132"/>
      <c r="L31" s="132"/>
      <c r="M31" s="133"/>
      <c r="N31" s="134"/>
    </row>
    <row r="32" spans="2:14" x14ac:dyDescent="0.15">
      <c r="B32" s="33">
        <v>16</v>
      </c>
      <c r="C32" s="147" t="str">
        <f>Schülerprofil!C32</f>
        <v>B16</v>
      </c>
      <c r="D32" s="148" t="s">
        <v>50</v>
      </c>
      <c r="E32" s="143">
        <v>4.3</v>
      </c>
      <c r="F32" s="129">
        <v>3.9</v>
      </c>
      <c r="G32" s="130">
        <v>140</v>
      </c>
      <c r="H32" s="139">
        <v>5</v>
      </c>
      <c r="I32" s="129">
        <v>25.4</v>
      </c>
      <c r="J32" s="140">
        <v>990</v>
      </c>
      <c r="K32" s="140"/>
      <c r="L32" s="132"/>
      <c r="M32" s="141"/>
      <c r="N32" s="149"/>
    </row>
    <row r="33" spans="2:14" x14ac:dyDescent="0.15">
      <c r="B33" s="33">
        <v>17</v>
      </c>
      <c r="C33" s="145" t="str">
        <f>Schülerprofil!C33</f>
        <v>B17</v>
      </c>
      <c r="D33" s="127" t="s">
        <v>50</v>
      </c>
      <c r="E33" s="143">
        <v>4.3</v>
      </c>
      <c r="F33" s="129">
        <v>4.9000000000000004</v>
      </c>
      <c r="G33" s="130">
        <v>130</v>
      </c>
      <c r="H33" s="144">
        <v>5</v>
      </c>
      <c r="I33" s="129">
        <v>25</v>
      </c>
      <c r="J33" s="132">
        <v>1017</v>
      </c>
      <c r="K33" s="132"/>
      <c r="L33" s="132"/>
      <c r="M33" s="133">
        <f t="shared" si="0"/>
        <v>0</v>
      </c>
      <c r="N33" s="134"/>
    </row>
    <row r="34" spans="2:14" x14ac:dyDescent="0.15">
      <c r="B34" s="33">
        <v>18</v>
      </c>
      <c r="C34" s="147" t="str">
        <f>Schülerprofil!C34</f>
        <v>B18</v>
      </c>
      <c r="D34" s="148" t="s">
        <v>50</v>
      </c>
      <c r="E34" s="143">
        <v>4.4000000000000004</v>
      </c>
      <c r="F34" s="129">
        <v>3.5</v>
      </c>
      <c r="G34" s="130">
        <v>128</v>
      </c>
      <c r="H34" s="139">
        <v>11</v>
      </c>
      <c r="I34" s="129"/>
      <c r="J34" s="140">
        <v>1037</v>
      </c>
      <c r="K34" s="140"/>
      <c r="L34" s="132"/>
      <c r="M34" s="141">
        <f t="shared" si="0"/>
        <v>0</v>
      </c>
      <c r="N34" s="149"/>
    </row>
    <row r="35" spans="2:14" x14ac:dyDescent="0.15">
      <c r="B35" s="33">
        <v>19</v>
      </c>
      <c r="C35" s="145" t="str">
        <f>Schülerprofil!C35</f>
        <v>B19</v>
      </c>
      <c r="D35" s="127" t="s">
        <v>50</v>
      </c>
      <c r="E35" s="143">
        <v>4.5</v>
      </c>
      <c r="F35" s="129">
        <v>2.7</v>
      </c>
      <c r="G35" s="130">
        <v>112</v>
      </c>
      <c r="H35" s="144">
        <v>8</v>
      </c>
      <c r="I35" s="129"/>
      <c r="J35" s="132">
        <v>981</v>
      </c>
      <c r="K35" s="132"/>
      <c r="L35" s="132"/>
      <c r="M35" s="133">
        <f t="shared" si="0"/>
        <v>0</v>
      </c>
      <c r="N35" s="134"/>
    </row>
    <row r="36" spans="2:14" x14ac:dyDescent="0.15">
      <c r="B36" s="33">
        <v>20</v>
      </c>
      <c r="C36" s="147" t="str">
        <f>Schülerprofil!C36</f>
        <v>B20</v>
      </c>
      <c r="D36" s="148" t="s">
        <v>50</v>
      </c>
      <c r="E36" s="143">
        <v>4.5999999999999996</v>
      </c>
      <c r="F36" s="129">
        <v>3.4</v>
      </c>
      <c r="G36" s="130">
        <v>128</v>
      </c>
      <c r="H36" s="139">
        <v>3</v>
      </c>
      <c r="I36" s="129">
        <v>28</v>
      </c>
      <c r="J36" s="140">
        <v>1026</v>
      </c>
      <c r="K36" s="140"/>
      <c r="L36" s="132"/>
      <c r="M36" s="141">
        <f t="shared" si="0"/>
        <v>0</v>
      </c>
      <c r="N36" s="149"/>
    </row>
    <row r="37" spans="2:14" x14ac:dyDescent="0.15">
      <c r="B37" s="33">
        <v>21</v>
      </c>
      <c r="C37" s="145" t="str">
        <f>Schülerprofil!C37</f>
        <v>B21</v>
      </c>
      <c r="D37" s="127" t="s">
        <v>50</v>
      </c>
      <c r="E37" s="143">
        <v>4.7</v>
      </c>
      <c r="F37" s="129">
        <v>3.4</v>
      </c>
      <c r="G37" s="130">
        <v>122</v>
      </c>
      <c r="H37" s="144">
        <v>3</v>
      </c>
      <c r="I37" s="129">
        <v>29</v>
      </c>
      <c r="J37" s="132">
        <v>1034</v>
      </c>
      <c r="K37" s="132"/>
      <c r="L37" s="132"/>
      <c r="M37" s="133">
        <f t="shared" si="0"/>
        <v>0</v>
      </c>
      <c r="N37" s="134"/>
    </row>
    <row r="38" spans="2:14" x14ac:dyDescent="0.15">
      <c r="B38" s="33">
        <v>22</v>
      </c>
      <c r="C38" s="147" t="str">
        <f>Schülerprofil!C38</f>
        <v>B22</v>
      </c>
      <c r="D38" s="148" t="s">
        <v>50</v>
      </c>
      <c r="E38" s="143">
        <v>4.5999999999999996</v>
      </c>
      <c r="F38" s="129">
        <v>3.1</v>
      </c>
      <c r="G38" s="130">
        <v>97</v>
      </c>
      <c r="H38" s="139">
        <v>4</v>
      </c>
      <c r="I38" s="129"/>
      <c r="J38" s="140">
        <v>918</v>
      </c>
      <c r="K38" s="140"/>
      <c r="L38" s="132"/>
      <c r="M38" s="141">
        <f t="shared" si="0"/>
        <v>0</v>
      </c>
      <c r="N38" s="149"/>
    </row>
    <row r="39" spans="2:14" x14ac:dyDescent="0.15">
      <c r="B39" s="33">
        <v>23</v>
      </c>
      <c r="C39" s="145">
        <f>Schülerprofil!C39</f>
        <v>0</v>
      </c>
      <c r="D39" s="127" t="s">
        <v>50</v>
      </c>
      <c r="E39" s="143"/>
      <c r="F39" s="129"/>
      <c r="G39" s="130"/>
      <c r="H39" s="144"/>
      <c r="I39" s="129"/>
      <c r="J39" s="132"/>
      <c r="K39" s="132"/>
      <c r="L39" s="132"/>
      <c r="M39" s="133">
        <f t="shared" si="0"/>
        <v>0</v>
      </c>
      <c r="N39" s="134"/>
    </row>
    <row r="40" spans="2:14" x14ac:dyDescent="0.15">
      <c r="B40" s="33">
        <v>24</v>
      </c>
      <c r="C40" s="147">
        <f>Schülerprofil!C40</f>
        <v>0</v>
      </c>
      <c r="D40" s="148" t="s">
        <v>50</v>
      </c>
      <c r="E40" s="143"/>
      <c r="F40" s="129"/>
      <c r="G40" s="130"/>
      <c r="H40" s="139"/>
      <c r="I40" s="129"/>
      <c r="J40" s="140"/>
      <c r="K40" s="140"/>
      <c r="L40" s="132"/>
      <c r="M40" s="141">
        <f t="shared" si="0"/>
        <v>0</v>
      </c>
      <c r="N40" s="149"/>
    </row>
    <row r="41" spans="2:14" x14ac:dyDescent="0.15">
      <c r="B41" s="33">
        <v>25</v>
      </c>
      <c r="C41" s="145">
        <f>Schülerprofil!C41</f>
        <v>0</v>
      </c>
      <c r="D41" s="127" t="s">
        <v>50</v>
      </c>
      <c r="E41" s="143"/>
      <c r="F41" s="129"/>
      <c r="G41" s="130"/>
      <c r="H41" s="144"/>
      <c r="I41" s="129"/>
      <c r="J41" s="132"/>
      <c r="K41" s="132"/>
      <c r="L41" s="132"/>
      <c r="M41" s="133">
        <f t="shared" si="0"/>
        <v>0</v>
      </c>
      <c r="N41" s="134"/>
    </row>
    <row r="42" spans="2:14" x14ac:dyDescent="0.15">
      <c r="B42" s="33">
        <v>26</v>
      </c>
      <c r="C42" s="147">
        <f>Schülerprofil!C42</f>
        <v>0</v>
      </c>
      <c r="D42" s="148" t="s">
        <v>50</v>
      </c>
      <c r="E42" s="143"/>
      <c r="F42" s="129"/>
      <c r="G42" s="130"/>
      <c r="H42" s="139"/>
      <c r="I42" s="129"/>
      <c r="J42" s="140"/>
      <c r="K42" s="140"/>
      <c r="L42" s="132"/>
      <c r="M42" s="141">
        <f t="shared" si="0"/>
        <v>0</v>
      </c>
      <c r="N42" s="149"/>
    </row>
    <row r="43" spans="2:14" x14ac:dyDescent="0.15">
      <c r="B43" s="33">
        <v>27</v>
      </c>
      <c r="C43" s="145">
        <f>Schülerprofil!C43</f>
        <v>0</v>
      </c>
      <c r="D43" s="127" t="s">
        <v>50</v>
      </c>
      <c r="E43" s="143"/>
      <c r="F43" s="129"/>
      <c r="G43" s="130"/>
      <c r="H43" s="144"/>
      <c r="I43" s="129"/>
      <c r="J43" s="132"/>
      <c r="K43" s="132"/>
      <c r="L43" s="132"/>
      <c r="M43" s="133">
        <f t="shared" si="0"/>
        <v>0</v>
      </c>
      <c r="N43" s="134"/>
    </row>
    <row r="44" spans="2:14" x14ac:dyDescent="0.15">
      <c r="B44" s="33">
        <v>28</v>
      </c>
      <c r="C44" s="147">
        <f>Schülerprofil!C44</f>
        <v>0</v>
      </c>
      <c r="D44" s="148" t="s">
        <v>50</v>
      </c>
      <c r="E44" s="143"/>
      <c r="F44" s="129"/>
      <c r="G44" s="130"/>
      <c r="H44" s="139"/>
      <c r="I44" s="129"/>
      <c r="J44" s="140"/>
      <c r="K44" s="140"/>
      <c r="L44" s="132"/>
      <c r="M44" s="141">
        <f t="shared" si="0"/>
        <v>0</v>
      </c>
      <c r="N44" s="149"/>
    </row>
    <row r="45" spans="2:14" x14ac:dyDescent="0.15">
      <c r="B45" s="33">
        <v>29</v>
      </c>
      <c r="C45" s="145">
        <f>Schülerprofil!C45</f>
        <v>0</v>
      </c>
      <c r="D45" s="127" t="s">
        <v>50</v>
      </c>
      <c r="E45" s="143"/>
      <c r="F45" s="129"/>
      <c r="G45" s="130"/>
      <c r="H45" s="144"/>
      <c r="I45" s="129"/>
      <c r="J45" s="132"/>
      <c r="K45" s="132"/>
      <c r="L45" s="132"/>
      <c r="M45" s="133">
        <f t="shared" si="0"/>
        <v>0</v>
      </c>
      <c r="N45" s="134"/>
    </row>
    <row r="46" spans="2:14" x14ac:dyDescent="0.15">
      <c r="B46" s="33">
        <v>30</v>
      </c>
      <c r="C46" s="147">
        <f>Schülerprofil!C46</f>
        <v>0</v>
      </c>
      <c r="D46" s="148" t="s">
        <v>50</v>
      </c>
      <c r="E46" s="143"/>
      <c r="F46" s="129"/>
      <c r="G46" s="130"/>
      <c r="H46" s="139"/>
      <c r="I46" s="129"/>
      <c r="J46" s="140"/>
      <c r="K46" s="140"/>
      <c r="L46" s="132"/>
      <c r="M46" s="141">
        <f t="shared" si="0"/>
        <v>0</v>
      </c>
      <c r="N46" s="149"/>
    </row>
    <row r="47" spans="2:14" x14ac:dyDescent="0.15">
      <c r="B47" s="33">
        <v>31</v>
      </c>
      <c r="C47" s="145">
        <f>Schülerprofil!C47</f>
        <v>0</v>
      </c>
      <c r="D47" s="127" t="s">
        <v>50</v>
      </c>
      <c r="E47" s="143"/>
      <c r="F47" s="129"/>
      <c r="G47" s="130"/>
      <c r="H47" s="144"/>
      <c r="I47" s="129"/>
      <c r="J47" s="132"/>
      <c r="K47" s="132"/>
      <c r="L47" s="132"/>
      <c r="M47" s="133">
        <f t="shared" si="0"/>
        <v>0</v>
      </c>
      <c r="N47" s="134"/>
    </row>
    <row r="48" spans="2:14" x14ac:dyDescent="0.15">
      <c r="B48" s="33">
        <v>32</v>
      </c>
      <c r="C48" s="147">
        <f>Schülerprofil!C48</f>
        <v>0</v>
      </c>
      <c r="D48" s="148" t="s">
        <v>50</v>
      </c>
      <c r="E48" s="143"/>
      <c r="F48" s="129"/>
      <c r="G48" s="130"/>
      <c r="H48" s="139"/>
      <c r="I48" s="129"/>
      <c r="J48" s="140"/>
      <c r="K48" s="140"/>
      <c r="L48" s="132"/>
      <c r="M48" s="141">
        <f t="shared" si="0"/>
        <v>0</v>
      </c>
      <c r="N48" s="149"/>
    </row>
    <row r="49" spans="2:14" x14ac:dyDescent="0.15">
      <c r="B49" s="33">
        <v>33</v>
      </c>
      <c r="C49" s="145">
        <f>Schülerprofil!C49</f>
        <v>0</v>
      </c>
      <c r="D49" s="127" t="s">
        <v>50</v>
      </c>
      <c r="E49" s="143"/>
      <c r="F49" s="129"/>
      <c r="G49" s="130"/>
      <c r="H49" s="144"/>
      <c r="I49" s="129"/>
      <c r="J49" s="132"/>
      <c r="K49" s="132"/>
      <c r="L49" s="132"/>
      <c r="M49" s="133">
        <f t="shared" si="0"/>
        <v>0</v>
      </c>
      <c r="N49" s="134"/>
    </row>
    <row r="50" spans="2:14" x14ac:dyDescent="0.15">
      <c r="B50" s="33">
        <v>34</v>
      </c>
      <c r="C50" s="147">
        <f>Schülerprofil!C50</f>
        <v>0</v>
      </c>
      <c r="D50" s="148" t="s">
        <v>50</v>
      </c>
      <c r="E50" s="143"/>
      <c r="F50" s="129"/>
      <c r="G50" s="130"/>
      <c r="H50" s="139"/>
      <c r="I50" s="129"/>
      <c r="J50" s="140"/>
      <c r="K50" s="140"/>
      <c r="L50" s="132"/>
      <c r="M50" s="141">
        <f t="shared" si="0"/>
        <v>0</v>
      </c>
      <c r="N50" s="149"/>
    </row>
    <row r="51" spans="2:14" x14ac:dyDescent="0.15">
      <c r="B51" s="33">
        <v>35</v>
      </c>
      <c r="C51" s="145">
        <f>Schülerprofil!C51</f>
        <v>0</v>
      </c>
      <c r="D51" s="127" t="s">
        <v>50</v>
      </c>
      <c r="E51" s="143"/>
      <c r="F51" s="129"/>
      <c r="G51" s="130"/>
      <c r="H51" s="144"/>
      <c r="I51" s="129"/>
      <c r="J51" s="132"/>
      <c r="K51" s="132"/>
      <c r="L51" s="132"/>
      <c r="M51" s="133">
        <f t="shared" si="0"/>
        <v>0</v>
      </c>
      <c r="N51" s="134"/>
    </row>
    <row r="52" spans="2:14" x14ac:dyDescent="0.15">
      <c r="B52" s="33">
        <v>36</v>
      </c>
      <c r="C52" s="147">
        <f>Schülerprofil!C52</f>
        <v>0</v>
      </c>
      <c r="D52" s="148" t="s">
        <v>50</v>
      </c>
      <c r="E52" s="143"/>
      <c r="F52" s="129"/>
      <c r="G52" s="130"/>
      <c r="H52" s="139"/>
      <c r="I52" s="129"/>
      <c r="J52" s="140"/>
      <c r="K52" s="140"/>
      <c r="L52" s="132"/>
      <c r="M52" s="141">
        <f t="shared" si="0"/>
        <v>0</v>
      </c>
      <c r="N52" s="149"/>
    </row>
    <row r="53" spans="2:14" x14ac:dyDescent="0.15">
      <c r="B53" s="33">
        <v>37</v>
      </c>
      <c r="C53" s="145">
        <f>Schülerprofil!C53</f>
        <v>0</v>
      </c>
      <c r="D53" s="127" t="s">
        <v>50</v>
      </c>
      <c r="E53" s="143"/>
      <c r="F53" s="129"/>
      <c r="G53" s="130"/>
      <c r="H53" s="144"/>
      <c r="I53" s="129"/>
      <c r="J53" s="132"/>
      <c r="K53" s="132"/>
      <c r="L53" s="132"/>
      <c r="M53" s="133">
        <f t="shared" si="0"/>
        <v>0</v>
      </c>
      <c r="N53" s="134"/>
    </row>
    <row r="54" spans="2:14" x14ac:dyDescent="0.15">
      <c r="B54" s="33">
        <v>38</v>
      </c>
      <c r="C54" s="147">
        <f>Schülerprofil!C54</f>
        <v>0</v>
      </c>
      <c r="D54" s="148" t="s">
        <v>50</v>
      </c>
      <c r="E54" s="143"/>
      <c r="F54" s="129"/>
      <c r="G54" s="130"/>
      <c r="H54" s="139"/>
      <c r="I54" s="129"/>
      <c r="J54" s="140"/>
      <c r="K54" s="140"/>
      <c r="L54" s="132"/>
      <c r="M54" s="141">
        <f t="shared" si="0"/>
        <v>0</v>
      </c>
      <c r="N54" s="149"/>
    </row>
    <row r="55" spans="2:14" x14ac:dyDescent="0.15">
      <c r="B55" s="33">
        <v>39</v>
      </c>
      <c r="C55" s="145">
        <f>Schülerprofil!C55</f>
        <v>0</v>
      </c>
      <c r="D55" s="127" t="s">
        <v>50</v>
      </c>
      <c r="E55" s="143"/>
      <c r="F55" s="129"/>
      <c r="G55" s="130"/>
      <c r="H55" s="144"/>
      <c r="I55" s="129"/>
      <c r="J55" s="132"/>
      <c r="K55" s="132"/>
      <c r="L55" s="132"/>
      <c r="M55" s="133">
        <f t="shared" si="0"/>
        <v>0</v>
      </c>
      <c r="N55" s="134"/>
    </row>
    <row r="56" spans="2:14" x14ac:dyDescent="0.15">
      <c r="B56" s="33">
        <v>40</v>
      </c>
      <c r="C56" s="147">
        <f>Schülerprofil!C56</f>
        <v>0</v>
      </c>
      <c r="D56" s="148" t="s">
        <v>50</v>
      </c>
      <c r="E56" s="143"/>
      <c r="F56" s="129"/>
      <c r="G56" s="130"/>
      <c r="H56" s="139"/>
      <c r="I56" s="129"/>
      <c r="J56" s="140"/>
      <c r="K56" s="140"/>
      <c r="L56" s="132"/>
      <c r="M56" s="141">
        <f t="shared" si="0"/>
        <v>0</v>
      </c>
      <c r="N56" s="149"/>
    </row>
    <row r="57" spans="2:14" x14ac:dyDescent="0.15">
      <c r="B57" s="33">
        <v>41</v>
      </c>
      <c r="C57" s="145">
        <f>Schülerprofil!C57</f>
        <v>0</v>
      </c>
      <c r="D57" s="127" t="s">
        <v>50</v>
      </c>
      <c r="E57" s="143"/>
      <c r="F57" s="129"/>
      <c r="G57" s="130"/>
      <c r="H57" s="144"/>
      <c r="I57" s="129"/>
      <c r="J57" s="132"/>
      <c r="K57" s="132"/>
      <c r="L57" s="132"/>
      <c r="M57" s="133">
        <f t="shared" si="0"/>
        <v>0</v>
      </c>
      <c r="N57" s="134"/>
    </row>
    <row r="58" spans="2:14" x14ac:dyDescent="0.15">
      <c r="B58" s="33">
        <v>42</v>
      </c>
      <c r="C58" s="147">
        <f>Schülerprofil!C58</f>
        <v>0</v>
      </c>
      <c r="D58" s="148" t="s">
        <v>50</v>
      </c>
      <c r="E58" s="143"/>
      <c r="F58" s="129"/>
      <c r="G58" s="130"/>
      <c r="H58" s="139"/>
      <c r="I58" s="129"/>
      <c r="J58" s="140"/>
      <c r="K58" s="140"/>
      <c r="L58" s="132"/>
      <c r="M58" s="141">
        <f t="shared" si="0"/>
        <v>0</v>
      </c>
      <c r="N58" s="149"/>
    </row>
    <row r="59" spans="2:14" x14ac:dyDescent="0.15">
      <c r="B59" s="33">
        <v>43</v>
      </c>
      <c r="C59" s="145">
        <f>Schülerprofil!C59</f>
        <v>0</v>
      </c>
      <c r="D59" s="127" t="s">
        <v>50</v>
      </c>
      <c r="E59" s="143"/>
      <c r="F59" s="129"/>
      <c r="G59" s="130"/>
      <c r="H59" s="144"/>
      <c r="I59" s="129"/>
      <c r="J59" s="132"/>
      <c r="K59" s="132"/>
      <c r="L59" s="132"/>
      <c r="M59" s="133">
        <f t="shared" si="0"/>
        <v>0</v>
      </c>
      <c r="N59" s="134"/>
    </row>
    <row r="60" spans="2:14" x14ac:dyDescent="0.15">
      <c r="B60" s="33">
        <v>44</v>
      </c>
      <c r="C60" s="147">
        <f>Schülerprofil!C60</f>
        <v>0</v>
      </c>
      <c r="D60" s="148" t="s">
        <v>50</v>
      </c>
      <c r="E60" s="143"/>
      <c r="F60" s="129"/>
      <c r="G60" s="130"/>
      <c r="H60" s="139"/>
      <c r="I60" s="129"/>
      <c r="J60" s="140"/>
      <c r="K60" s="140"/>
      <c r="L60" s="132"/>
      <c r="M60" s="141">
        <f t="shared" si="0"/>
        <v>0</v>
      </c>
      <c r="N60" s="149"/>
    </row>
    <row r="61" spans="2:14" x14ac:dyDescent="0.15">
      <c r="B61" s="33">
        <v>45</v>
      </c>
      <c r="C61" s="145">
        <f>Schülerprofil!C61</f>
        <v>0</v>
      </c>
      <c r="D61" s="127" t="s">
        <v>50</v>
      </c>
      <c r="E61" s="143"/>
      <c r="F61" s="129"/>
      <c r="G61" s="130"/>
      <c r="H61" s="144"/>
      <c r="I61" s="129"/>
      <c r="J61" s="132"/>
      <c r="K61" s="132"/>
      <c r="L61" s="132"/>
      <c r="M61" s="133">
        <f t="shared" si="0"/>
        <v>0</v>
      </c>
      <c r="N61" s="134"/>
    </row>
    <row r="62" spans="2:14" x14ac:dyDescent="0.15">
      <c r="B62" s="33">
        <v>46</v>
      </c>
      <c r="C62" s="147">
        <f>Schülerprofil!C62</f>
        <v>0</v>
      </c>
      <c r="D62" s="148" t="s">
        <v>50</v>
      </c>
      <c r="E62" s="143"/>
      <c r="F62" s="129"/>
      <c r="G62" s="130"/>
      <c r="H62" s="139"/>
      <c r="I62" s="129"/>
      <c r="J62" s="140"/>
      <c r="K62" s="140"/>
      <c r="L62" s="132"/>
      <c r="M62" s="141">
        <f t="shared" si="0"/>
        <v>0</v>
      </c>
      <c r="N62" s="149"/>
    </row>
    <row r="63" spans="2:14" x14ac:dyDescent="0.15">
      <c r="B63" s="33">
        <v>47</v>
      </c>
      <c r="C63" s="145">
        <f>Schülerprofil!C63</f>
        <v>0</v>
      </c>
      <c r="D63" s="127" t="s">
        <v>50</v>
      </c>
      <c r="E63" s="143"/>
      <c r="F63" s="129"/>
      <c r="G63" s="130"/>
      <c r="H63" s="144"/>
      <c r="I63" s="129"/>
      <c r="J63" s="132"/>
      <c r="K63" s="132"/>
      <c r="L63" s="132"/>
      <c r="M63" s="133">
        <f t="shared" si="0"/>
        <v>0</v>
      </c>
      <c r="N63" s="134"/>
    </row>
    <row r="64" spans="2:14" x14ac:dyDescent="0.15">
      <c r="B64" s="33">
        <v>48</v>
      </c>
      <c r="C64" s="147">
        <f>Schülerprofil!C64</f>
        <v>0</v>
      </c>
      <c r="D64" s="148" t="s">
        <v>50</v>
      </c>
      <c r="E64" s="143"/>
      <c r="F64" s="129"/>
      <c r="G64" s="130"/>
      <c r="H64" s="139"/>
      <c r="I64" s="129"/>
      <c r="J64" s="140"/>
      <c r="K64" s="140"/>
      <c r="L64" s="132"/>
      <c r="M64" s="141">
        <f t="shared" si="0"/>
        <v>0</v>
      </c>
      <c r="N64" s="149"/>
    </row>
    <row r="65" spans="2:14" x14ac:dyDescent="0.15">
      <c r="B65" s="33">
        <v>49</v>
      </c>
      <c r="C65" s="145">
        <f>Schülerprofil!C65</f>
        <v>0</v>
      </c>
      <c r="D65" s="127" t="s">
        <v>50</v>
      </c>
      <c r="E65" s="143"/>
      <c r="F65" s="129"/>
      <c r="G65" s="130"/>
      <c r="H65" s="144"/>
      <c r="I65" s="129"/>
      <c r="J65" s="132"/>
      <c r="K65" s="132"/>
      <c r="L65" s="132"/>
      <c r="M65" s="133">
        <f t="shared" si="0"/>
        <v>0</v>
      </c>
      <c r="N65" s="134"/>
    </row>
    <row r="66" spans="2:14" x14ac:dyDescent="0.15">
      <c r="B66" s="33">
        <v>50</v>
      </c>
      <c r="C66" s="147">
        <f>Schülerprofil!C66</f>
        <v>0</v>
      </c>
      <c r="D66" s="148" t="s">
        <v>50</v>
      </c>
      <c r="E66" s="143"/>
      <c r="F66" s="129"/>
      <c r="G66" s="130"/>
      <c r="H66" s="139"/>
      <c r="I66" s="129"/>
      <c r="J66" s="140"/>
      <c r="K66" s="140"/>
      <c r="L66" s="132"/>
      <c r="M66" s="141">
        <f t="shared" si="0"/>
        <v>0</v>
      </c>
      <c r="N66" s="149"/>
    </row>
    <row r="67" spans="2:14" x14ac:dyDescent="0.15">
      <c r="B67" s="33">
        <v>51</v>
      </c>
      <c r="C67" s="145">
        <f>Schülerprofil!C67</f>
        <v>0</v>
      </c>
      <c r="D67" s="127" t="s">
        <v>50</v>
      </c>
      <c r="E67" s="143"/>
      <c r="F67" s="129"/>
      <c r="G67" s="130"/>
      <c r="H67" s="144"/>
      <c r="I67" s="129"/>
      <c r="J67" s="132"/>
      <c r="K67" s="132"/>
      <c r="L67" s="132"/>
      <c r="M67" s="133">
        <f t="shared" si="0"/>
        <v>0</v>
      </c>
      <c r="N67" s="134"/>
    </row>
    <row r="68" spans="2:14" x14ac:dyDescent="0.15">
      <c r="B68" s="33">
        <v>52</v>
      </c>
      <c r="C68" s="147">
        <f>Schülerprofil!C68</f>
        <v>0</v>
      </c>
      <c r="D68" s="148" t="s">
        <v>50</v>
      </c>
      <c r="E68" s="143"/>
      <c r="F68" s="129"/>
      <c r="G68" s="130"/>
      <c r="H68" s="139"/>
      <c r="I68" s="129"/>
      <c r="J68" s="140"/>
      <c r="K68" s="140"/>
      <c r="L68" s="132"/>
      <c r="M68" s="141">
        <f t="shared" si="0"/>
        <v>0</v>
      </c>
      <c r="N68" s="149"/>
    </row>
    <row r="69" spans="2:14" x14ac:dyDescent="0.15">
      <c r="B69" s="33">
        <v>53</v>
      </c>
      <c r="C69" s="145">
        <f>Schülerprofil!C69</f>
        <v>0</v>
      </c>
      <c r="D69" s="127" t="s">
        <v>50</v>
      </c>
      <c r="E69" s="143"/>
      <c r="F69" s="129"/>
      <c r="G69" s="130"/>
      <c r="H69" s="144"/>
      <c r="I69" s="129"/>
      <c r="J69" s="132"/>
      <c r="K69" s="132"/>
      <c r="L69" s="132"/>
      <c r="M69" s="133">
        <f t="shared" si="0"/>
        <v>0</v>
      </c>
      <c r="N69" s="134"/>
    </row>
    <row r="70" spans="2:14" x14ac:dyDescent="0.15">
      <c r="B70" s="33">
        <v>54</v>
      </c>
      <c r="C70" s="147">
        <f>Schülerprofil!C70</f>
        <v>0</v>
      </c>
      <c r="D70" s="148" t="s">
        <v>50</v>
      </c>
      <c r="E70" s="143"/>
      <c r="F70" s="129"/>
      <c r="G70" s="130"/>
      <c r="H70" s="139"/>
      <c r="I70" s="129"/>
      <c r="J70" s="140"/>
      <c r="K70" s="140"/>
      <c r="L70" s="132"/>
      <c r="M70" s="141">
        <f t="shared" si="0"/>
        <v>0</v>
      </c>
      <c r="N70" s="149"/>
    </row>
    <row r="71" spans="2:14" x14ac:dyDescent="0.15">
      <c r="B71" s="33">
        <v>55</v>
      </c>
      <c r="C71" s="145">
        <f>Schülerprofil!C71</f>
        <v>0</v>
      </c>
      <c r="D71" s="127" t="s">
        <v>50</v>
      </c>
      <c r="E71" s="143"/>
      <c r="F71" s="129"/>
      <c r="G71" s="130"/>
      <c r="H71" s="144"/>
      <c r="I71" s="129"/>
      <c r="J71" s="132"/>
      <c r="K71" s="132"/>
      <c r="L71" s="132"/>
      <c r="M71" s="133">
        <f t="shared" si="0"/>
        <v>0</v>
      </c>
      <c r="N71" s="134"/>
    </row>
    <row r="72" spans="2:14" x14ac:dyDescent="0.15">
      <c r="B72" s="33">
        <v>56</v>
      </c>
      <c r="C72" s="147">
        <f>Schülerprofil!C72</f>
        <v>0</v>
      </c>
      <c r="D72" s="148" t="s">
        <v>50</v>
      </c>
      <c r="E72" s="143"/>
      <c r="F72" s="129"/>
      <c r="G72" s="130"/>
      <c r="H72" s="139"/>
      <c r="I72" s="129"/>
      <c r="J72" s="140"/>
      <c r="K72" s="140"/>
      <c r="L72" s="132"/>
      <c r="M72" s="141">
        <f t="shared" si="0"/>
        <v>0</v>
      </c>
      <c r="N72" s="149"/>
    </row>
    <row r="73" spans="2:14" x14ac:dyDescent="0.15">
      <c r="B73" s="33">
        <v>57</v>
      </c>
      <c r="C73" s="145">
        <f>Schülerprofil!C73</f>
        <v>0</v>
      </c>
      <c r="D73" s="127" t="s">
        <v>50</v>
      </c>
      <c r="E73" s="143"/>
      <c r="F73" s="129"/>
      <c r="G73" s="130"/>
      <c r="H73" s="144"/>
      <c r="I73" s="129"/>
      <c r="J73" s="132"/>
      <c r="K73" s="132"/>
      <c r="L73" s="132"/>
      <c r="M73" s="133">
        <f t="shared" si="0"/>
        <v>0</v>
      </c>
      <c r="N73" s="134"/>
    </row>
    <row r="74" spans="2:14" x14ac:dyDescent="0.15">
      <c r="B74" s="33">
        <v>58</v>
      </c>
      <c r="C74" s="147">
        <f>Schülerprofil!C74</f>
        <v>0</v>
      </c>
      <c r="D74" s="148" t="s">
        <v>50</v>
      </c>
      <c r="E74" s="143"/>
      <c r="F74" s="129"/>
      <c r="G74" s="130"/>
      <c r="H74" s="139"/>
      <c r="I74" s="129"/>
      <c r="J74" s="140"/>
      <c r="K74" s="140"/>
      <c r="L74" s="132"/>
      <c r="M74" s="141">
        <f t="shared" si="0"/>
        <v>0</v>
      </c>
      <c r="N74" s="149"/>
    </row>
    <row r="75" spans="2:14" x14ac:dyDescent="0.15">
      <c r="B75" s="33">
        <v>59</v>
      </c>
      <c r="C75" s="145">
        <f>Schülerprofil!C75</f>
        <v>0</v>
      </c>
      <c r="D75" s="127" t="s">
        <v>50</v>
      </c>
      <c r="E75" s="143"/>
      <c r="F75" s="129"/>
      <c r="G75" s="130"/>
      <c r="H75" s="144"/>
      <c r="I75" s="129"/>
      <c r="J75" s="132"/>
      <c r="K75" s="132"/>
      <c r="L75" s="132"/>
      <c r="M75" s="133">
        <f t="shared" si="0"/>
        <v>0</v>
      </c>
      <c r="N75" s="134"/>
    </row>
    <row r="76" spans="2:14" x14ac:dyDescent="0.15">
      <c r="B76" s="33">
        <v>60</v>
      </c>
      <c r="C76" s="147">
        <f>Schülerprofil!C76</f>
        <v>0</v>
      </c>
      <c r="D76" s="148" t="s">
        <v>50</v>
      </c>
      <c r="E76" s="143"/>
      <c r="F76" s="129"/>
      <c r="G76" s="130"/>
      <c r="H76" s="139"/>
      <c r="I76" s="129"/>
      <c r="J76" s="140"/>
      <c r="K76" s="140"/>
      <c r="L76" s="132"/>
      <c r="M76" s="141">
        <f t="shared" si="0"/>
        <v>0</v>
      </c>
      <c r="N76" s="149"/>
    </row>
    <row r="77" spans="2:14" x14ac:dyDescent="0.15">
      <c r="B77" s="33">
        <v>61</v>
      </c>
      <c r="C77" s="145">
        <f>Schülerprofil!C77</f>
        <v>0</v>
      </c>
      <c r="D77" s="127" t="s">
        <v>50</v>
      </c>
      <c r="E77" s="143"/>
      <c r="F77" s="129"/>
      <c r="G77" s="130"/>
      <c r="H77" s="144"/>
      <c r="I77" s="129"/>
      <c r="J77" s="132"/>
      <c r="K77" s="132"/>
      <c r="L77" s="132"/>
      <c r="M77" s="133">
        <f t="shared" si="0"/>
        <v>0</v>
      </c>
      <c r="N77" s="134"/>
    </row>
    <row r="78" spans="2:14" x14ac:dyDescent="0.15">
      <c r="B78" s="33">
        <v>62</v>
      </c>
      <c r="C78" s="147">
        <f>Schülerprofil!C78</f>
        <v>0</v>
      </c>
      <c r="D78" s="148" t="s">
        <v>50</v>
      </c>
      <c r="E78" s="143"/>
      <c r="F78" s="129"/>
      <c r="G78" s="130"/>
      <c r="H78" s="139"/>
      <c r="I78" s="129"/>
      <c r="J78" s="140"/>
      <c r="K78" s="140"/>
      <c r="L78" s="132"/>
      <c r="M78" s="141">
        <f t="shared" si="0"/>
        <v>0</v>
      </c>
      <c r="N78" s="149"/>
    </row>
    <row r="79" spans="2:14" x14ac:dyDescent="0.15">
      <c r="B79" s="33">
        <v>63</v>
      </c>
      <c r="C79" s="145">
        <f>Schülerprofil!C79</f>
        <v>0</v>
      </c>
      <c r="D79" s="127" t="s">
        <v>50</v>
      </c>
      <c r="E79" s="143"/>
      <c r="F79" s="129"/>
      <c r="G79" s="130"/>
      <c r="H79" s="144"/>
      <c r="I79" s="129"/>
      <c r="J79" s="132"/>
      <c r="K79" s="132"/>
      <c r="L79" s="132"/>
      <c r="M79" s="133">
        <f t="shared" si="0"/>
        <v>0</v>
      </c>
      <c r="N79" s="134"/>
    </row>
    <row r="80" spans="2:14" x14ac:dyDescent="0.15">
      <c r="B80" s="33">
        <v>64</v>
      </c>
      <c r="C80" s="147">
        <f>Schülerprofil!C80</f>
        <v>0</v>
      </c>
      <c r="D80" s="148" t="s">
        <v>50</v>
      </c>
      <c r="E80" s="143"/>
      <c r="F80" s="129"/>
      <c r="G80" s="130"/>
      <c r="H80" s="139"/>
      <c r="I80" s="129"/>
      <c r="J80" s="140"/>
      <c r="K80" s="140"/>
      <c r="L80" s="132"/>
      <c r="M80" s="141">
        <f t="shared" si="0"/>
        <v>0</v>
      </c>
      <c r="N80" s="149"/>
    </row>
    <row r="81" spans="2:14" x14ac:dyDescent="0.15">
      <c r="B81" s="33">
        <v>65</v>
      </c>
      <c r="C81" s="145">
        <f>Schülerprofil!C81</f>
        <v>0</v>
      </c>
      <c r="D81" s="127" t="s">
        <v>50</v>
      </c>
      <c r="E81" s="143"/>
      <c r="F81" s="129"/>
      <c r="G81" s="130"/>
      <c r="H81" s="144"/>
      <c r="I81" s="129"/>
      <c r="J81" s="132"/>
      <c r="K81" s="132"/>
      <c r="L81" s="132"/>
      <c r="M81" s="133">
        <f t="shared" si="0"/>
        <v>0</v>
      </c>
      <c r="N81" s="134"/>
    </row>
    <row r="82" spans="2:14" x14ac:dyDescent="0.15">
      <c r="B82" s="33">
        <v>66</v>
      </c>
      <c r="C82" s="147">
        <f>Schülerprofil!C82</f>
        <v>0</v>
      </c>
      <c r="D82" s="148" t="s">
        <v>50</v>
      </c>
      <c r="E82" s="143"/>
      <c r="F82" s="129"/>
      <c r="G82" s="130"/>
      <c r="H82" s="139"/>
      <c r="I82" s="129"/>
      <c r="J82" s="140"/>
      <c r="K82" s="140"/>
      <c r="L82" s="132"/>
      <c r="M82" s="141">
        <f t="shared" ref="M82:M145" si="1" xml:space="preserve"> (K82*54)+(L82*9)</f>
        <v>0</v>
      </c>
      <c r="N82" s="149"/>
    </row>
    <row r="83" spans="2:14" x14ac:dyDescent="0.15">
      <c r="B83" s="33">
        <v>67</v>
      </c>
      <c r="C83" s="145">
        <f>Schülerprofil!C83</f>
        <v>0</v>
      </c>
      <c r="D83" s="127" t="s">
        <v>50</v>
      </c>
      <c r="E83" s="143"/>
      <c r="F83" s="129"/>
      <c r="G83" s="130"/>
      <c r="H83" s="144"/>
      <c r="I83" s="129"/>
      <c r="J83" s="132"/>
      <c r="K83" s="132"/>
      <c r="L83" s="132"/>
      <c r="M83" s="133">
        <f t="shared" si="1"/>
        <v>0</v>
      </c>
      <c r="N83" s="134"/>
    </row>
    <row r="84" spans="2:14" x14ac:dyDescent="0.15">
      <c r="B84" s="33">
        <v>68</v>
      </c>
      <c r="C84" s="147">
        <f>Schülerprofil!C84</f>
        <v>0</v>
      </c>
      <c r="D84" s="148" t="s">
        <v>50</v>
      </c>
      <c r="E84" s="143"/>
      <c r="F84" s="129"/>
      <c r="G84" s="130"/>
      <c r="H84" s="139"/>
      <c r="I84" s="129"/>
      <c r="J84" s="140"/>
      <c r="K84" s="140"/>
      <c r="L84" s="132"/>
      <c r="M84" s="141">
        <f t="shared" si="1"/>
        <v>0</v>
      </c>
      <c r="N84" s="149"/>
    </row>
    <row r="85" spans="2:14" x14ac:dyDescent="0.15">
      <c r="B85" s="33">
        <v>69</v>
      </c>
      <c r="C85" s="145">
        <f>Schülerprofil!C85</f>
        <v>0</v>
      </c>
      <c r="D85" s="150" t="s">
        <v>50</v>
      </c>
      <c r="E85" s="143"/>
      <c r="F85" s="129"/>
      <c r="G85" s="130"/>
      <c r="H85" s="144"/>
      <c r="I85" s="129"/>
      <c r="J85" s="132"/>
      <c r="K85" s="132"/>
      <c r="L85" s="132"/>
      <c r="M85" s="133">
        <f t="shared" si="1"/>
        <v>0</v>
      </c>
      <c r="N85" s="151"/>
    </row>
    <row r="86" spans="2:14" x14ac:dyDescent="0.15">
      <c r="B86" s="33">
        <v>70</v>
      </c>
      <c r="C86" s="147">
        <f>Schülerprofil!C86</f>
        <v>0</v>
      </c>
      <c r="D86" s="148" t="s">
        <v>50</v>
      </c>
      <c r="E86" s="143"/>
      <c r="F86" s="129"/>
      <c r="G86" s="130"/>
      <c r="H86" s="139"/>
      <c r="I86" s="129"/>
      <c r="J86" s="140"/>
      <c r="K86" s="140"/>
      <c r="L86" s="132"/>
      <c r="M86" s="141">
        <f t="shared" si="1"/>
        <v>0</v>
      </c>
      <c r="N86" s="149"/>
    </row>
    <row r="87" spans="2:14" x14ac:dyDescent="0.15">
      <c r="B87" s="33">
        <v>71</v>
      </c>
      <c r="C87" s="145">
        <f>Schülerprofil!C87</f>
        <v>0</v>
      </c>
      <c r="D87" s="127" t="s">
        <v>50</v>
      </c>
      <c r="E87" s="143"/>
      <c r="F87" s="129"/>
      <c r="G87" s="130"/>
      <c r="H87" s="144"/>
      <c r="I87" s="129"/>
      <c r="J87" s="132"/>
      <c r="K87" s="132"/>
      <c r="L87" s="132"/>
      <c r="M87" s="133">
        <f t="shared" si="1"/>
        <v>0</v>
      </c>
      <c r="N87" s="134"/>
    </row>
    <row r="88" spans="2:14" x14ac:dyDescent="0.15">
      <c r="B88" s="33">
        <v>72</v>
      </c>
      <c r="C88" s="147">
        <f>Schülerprofil!C88</f>
        <v>0</v>
      </c>
      <c r="D88" s="148" t="s">
        <v>50</v>
      </c>
      <c r="E88" s="143"/>
      <c r="F88" s="129"/>
      <c r="G88" s="130"/>
      <c r="H88" s="139"/>
      <c r="I88" s="129"/>
      <c r="J88" s="140"/>
      <c r="K88" s="140"/>
      <c r="L88" s="132"/>
      <c r="M88" s="141">
        <f t="shared" si="1"/>
        <v>0</v>
      </c>
      <c r="N88" s="149"/>
    </row>
    <row r="89" spans="2:14" x14ac:dyDescent="0.15">
      <c r="B89" s="33">
        <v>73</v>
      </c>
      <c r="C89" s="145">
        <f>Schülerprofil!C89</f>
        <v>0</v>
      </c>
      <c r="D89" s="127" t="s">
        <v>50</v>
      </c>
      <c r="E89" s="143"/>
      <c r="F89" s="129"/>
      <c r="G89" s="130"/>
      <c r="H89" s="144"/>
      <c r="I89" s="129"/>
      <c r="J89" s="132"/>
      <c r="K89" s="132"/>
      <c r="L89" s="132"/>
      <c r="M89" s="133">
        <f t="shared" si="1"/>
        <v>0</v>
      </c>
      <c r="N89" s="134"/>
    </row>
    <row r="90" spans="2:14" x14ac:dyDescent="0.15">
      <c r="B90" s="33">
        <v>74</v>
      </c>
      <c r="C90" s="147">
        <f>Schülerprofil!C90</f>
        <v>0</v>
      </c>
      <c r="D90" s="148" t="s">
        <v>50</v>
      </c>
      <c r="E90" s="143"/>
      <c r="F90" s="129"/>
      <c r="G90" s="130"/>
      <c r="H90" s="139"/>
      <c r="I90" s="129"/>
      <c r="J90" s="140"/>
      <c r="K90" s="140"/>
      <c r="L90" s="132"/>
      <c r="M90" s="141">
        <f t="shared" si="1"/>
        <v>0</v>
      </c>
      <c r="N90" s="149"/>
    </row>
    <row r="91" spans="2:14" x14ac:dyDescent="0.15">
      <c r="B91" s="33">
        <v>75</v>
      </c>
      <c r="C91" s="145">
        <f>Schülerprofil!C91</f>
        <v>0</v>
      </c>
      <c r="D91" s="127" t="s">
        <v>50</v>
      </c>
      <c r="E91" s="143"/>
      <c r="F91" s="129"/>
      <c r="G91" s="130"/>
      <c r="H91" s="144"/>
      <c r="I91" s="129"/>
      <c r="J91" s="132"/>
      <c r="K91" s="132"/>
      <c r="L91" s="132"/>
      <c r="M91" s="133">
        <f t="shared" si="1"/>
        <v>0</v>
      </c>
      <c r="N91" s="134"/>
    </row>
    <row r="92" spans="2:14" x14ac:dyDescent="0.15">
      <c r="B92" s="33">
        <v>76</v>
      </c>
      <c r="C92" s="147">
        <f>Schülerprofil!C92</f>
        <v>0</v>
      </c>
      <c r="D92" s="148" t="s">
        <v>50</v>
      </c>
      <c r="E92" s="143"/>
      <c r="F92" s="129"/>
      <c r="G92" s="130"/>
      <c r="H92" s="139"/>
      <c r="I92" s="129"/>
      <c r="J92" s="140"/>
      <c r="K92" s="140"/>
      <c r="L92" s="132"/>
      <c r="M92" s="141">
        <f t="shared" si="1"/>
        <v>0</v>
      </c>
      <c r="N92" s="149"/>
    </row>
    <row r="93" spans="2:14" x14ac:dyDescent="0.15">
      <c r="B93" s="33">
        <v>77</v>
      </c>
      <c r="C93" s="145">
        <f>Schülerprofil!C93</f>
        <v>0</v>
      </c>
      <c r="D93" s="127" t="s">
        <v>50</v>
      </c>
      <c r="E93" s="143"/>
      <c r="F93" s="129"/>
      <c r="G93" s="130"/>
      <c r="H93" s="144"/>
      <c r="I93" s="129"/>
      <c r="J93" s="132"/>
      <c r="K93" s="132"/>
      <c r="L93" s="132"/>
      <c r="M93" s="133">
        <f t="shared" si="1"/>
        <v>0</v>
      </c>
      <c r="N93" s="134"/>
    </row>
    <row r="94" spans="2:14" x14ac:dyDescent="0.15">
      <c r="B94" s="33">
        <v>78</v>
      </c>
      <c r="C94" s="147">
        <f>Schülerprofil!C94</f>
        <v>0</v>
      </c>
      <c r="D94" s="148" t="s">
        <v>50</v>
      </c>
      <c r="E94" s="143"/>
      <c r="F94" s="129"/>
      <c r="G94" s="130"/>
      <c r="H94" s="139"/>
      <c r="I94" s="129"/>
      <c r="J94" s="140"/>
      <c r="K94" s="140"/>
      <c r="L94" s="132"/>
      <c r="M94" s="141">
        <f t="shared" si="1"/>
        <v>0</v>
      </c>
      <c r="N94" s="149"/>
    </row>
    <row r="95" spans="2:14" x14ac:dyDescent="0.15">
      <c r="B95" s="33">
        <v>79</v>
      </c>
      <c r="C95" s="145">
        <f>Schülerprofil!C95</f>
        <v>0</v>
      </c>
      <c r="D95" s="127" t="s">
        <v>50</v>
      </c>
      <c r="E95" s="143"/>
      <c r="F95" s="129"/>
      <c r="G95" s="130"/>
      <c r="H95" s="144"/>
      <c r="I95" s="129"/>
      <c r="J95" s="132"/>
      <c r="K95" s="132"/>
      <c r="L95" s="132"/>
      <c r="M95" s="133">
        <f t="shared" si="1"/>
        <v>0</v>
      </c>
      <c r="N95" s="134"/>
    </row>
    <row r="96" spans="2:14" x14ac:dyDescent="0.15">
      <c r="B96" s="33">
        <v>80</v>
      </c>
      <c r="C96" s="147">
        <f>Schülerprofil!C96</f>
        <v>0</v>
      </c>
      <c r="D96" s="148" t="s">
        <v>50</v>
      </c>
      <c r="E96" s="143"/>
      <c r="F96" s="129"/>
      <c r="G96" s="130"/>
      <c r="H96" s="139"/>
      <c r="I96" s="129"/>
      <c r="J96" s="140"/>
      <c r="K96" s="140"/>
      <c r="L96" s="132"/>
      <c r="M96" s="141">
        <f t="shared" si="1"/>
        <v>0</v>
      </c>
      <c r="N96" s="149"/>
    </row>
    <row r="97" spans="2:14" x14ac:dyDescent="0.15">
      <c r="B97" s="33">
        <v>81</v>
      </c>
      <c r="C97" s="145">
        <f>Schülerprofil!C97</f>
        <v>0</v>
      </c>
      <c r="D97" s="127" t="s">
        <v>50</v>
      </c>
      <c r="E97" s="143"/>
      <c r="F97" s="129"/>
      <c r="G97" s="130"/>
      <c r="H97" s="144"/>
      <c r="I97" s="129"/>
      <c r="J97" s="132"/>
      <c r="K97" s="132"/>
      <c r="L97" s="132"/>
      <c r="M97" s="133">
        <f t="shared" si="1"/>
        <v>0</v>
      </c>
      <c r="N97" s="134"/>
    </row>
    <row r="98" spans="2:14" x14ac:dyDescent="0.15">
      <c r="B98" s="33">
        <v>82</v>
      </c>
      <c r="C98" s="147">
        <f>Schülerprofil!C98</f>
        <v>0</v>
      </c>
      <c r="D98" s="148" t="s">
        <v>50</v>
      </c>
      <c r="E98" s="143"/>
      <c r="F98" s="129"/>
      <c r="G98" s="130"/>
      <c r="H98" s="139"/>
      <c r="I98" s="129"/>
      <c r="J98" s="140"/>
      <c r="K98" s="140"/>
      <c r="L98" s="132"/>
      <c r="M98" s="141">
        <f t="shared" si="1"/>
        <v>0</v>
      </c>
      <c r="N98" s="149"/>
    </row>
    <row r="99" spans="2:14" x14ac:dyDescent="0.15">
      <c r="B99" s="33">
        <v>83</v>
      </c>
      <c r="C99" s="145">
        <f>Schülerprofil!C99</f>
        <v>0</v>
      </c>
      <c r="D99" s="127" t="s">
        <v>50</v>
      </c>
      <c r="E99" s="143"/>
      <c r="F99" s="129"/>
      <c r="G99" s="130"/>
      <c r="H99" s="144"/>
      <c r="I99" s="129"/>
      <c r="J99" s="132"/>
      <c r="K99" s="132"/>
      <c r="L99" s="132"/>
      <c r="M99" s="133">
        <f t="shared" si="1"/>
        <v>0</v>
      </c>
      <c r="N99" s="134"/>
    </row>
    <row r="100" spans="2:14" x14ac:dyDescent="0.15">
      <c r="B100" s="33">
        <v>84</v>
      </c>
      <c r="C100" s="147">
        <f>Schülerprofil!C100</f>
        <v>0</v>
      </c>
      <c r="D100" s="148" t="s">
        <v>50</v>
      </c>
      <c r="E100" s="143"/>
      <c r="F100" s="129"/>
      <c r="G100" s="130"/>
      <c r="H100" s="139"/>
      <c r="I100" s="129"/>
      <c r="J100" s="140"/>
      <c r="K100" s="140"/>
      <c r="L100" s="132"/>
      <c r="M100" s="141">
        <f t="shared" si="1"/>
        <v>0</v>
      </c>
      <c r="N100" s="149"/>
    </row>
    <row r="101" spans="2:14" x14ac:dyDescent="0.15">
      <c r="B101" s="33">
        <v>85</v>
      </c>
      <c r="C101" s="145">
        <f>Schülerprofil!C101</f>
        <v>0</v>
      </c>
      <c r="D101" s="127" t="s">
        <v>50</v>
      </c>
      <c r="E101" s="143"/>
      <c r="F101" s="129"/>
      <c r="G101" s="130"/>
      <c r="H101" s="144"/>
      <c r="I101" s="129"/>
      <c r="J101" s="132"/>
      <c r="K101" s="132"/>
      <c r="L101" s="132"/>
      <c r="M101" s="133">
        <f t="shared" si="1"/>
        <v>0</v>
      </c>
      <c r="N101" s="134"/>
    </row>
    <row r="102" spans="2:14" x14ac:dyDescent="0.15">
      <c r="B102" s="33">
        <v>86</v>
      </c>
      <c r="C102" s="147">
        <f>Schülerprofil!C102</f>
        <v>0</v>
      </c>
      <c r="D102" s="148" t="s">
        <v>50</v>
      </c>
      <c r="E102" s="143"/>
      <c r="F102" s="129"/>
      <c r="G102" s="130"/>
      <c r="H102" s="139"/>
      <c r="I102" s="129"/>
      <c r="J102" s="140"/>
      <c r="K102" s="140"/>
      <c r="L102" s="132"/>
      <c r="M102" s="141">
        <f t="shared" si="1"/>
        <v>0</v>
      </c>
      <c r="N102" s="149"/>
    </row>
    <row r="103" spans="2:14" x14ac:dyDescent="0.15">
      <c r="B103" s="33">
        <v>87</v>
      </c>
      <c r="C103" s="145">
        <f>Schülerprofil!C103</f>
        <v>0</v>
      </c>
      <c r="D103" s="127" t="s">
        <v>50</v>
      </c>
      <c r="E103" s="143"/>
      <c r="F103" s="129"/>
      <c r="G103" s="130"/>
      <c r="H103" s="144"/>
      <c r="I103" s="129"/>
      <c r="J103" s="132"/>
      <c r="K103" s="132"/>
      <c r="L103" s="132"/>
      <c r="M103" s="133">
        <f t="shared" si="1"/>
        <v>0</v>
      </c>
      <c r="N103" s="134"/>
    </row>
    <row r="104" spans="2:14" x14ac:dyDescent="0.15">
      <c r="B104" s="33">
        <v>88</v>
      </c>
      <c r="C104" s="147">
        <f>Schülerprofil!C104</f>
        <v>0</v>
      </c>
      <c r="D104" s="148" t="s">
        <v>50</v>
      </c>
      <c r="E104" s="143"/>
      <c r="F104" s="129"/>
      <c r="G104" s="130"/>
      <c r="H104" s="139"/>
      <c r="I104" s="129"/>
      <c r="J104" s="140"/>
      <c r="K104" s="140"/>
      <c r="L104" s="132"/>
      <c r="M104" s="141">
        <f t="shared" si="1"/>
        <v>0</v>
      </c>
      <c r="N104" s="149"/>
    </row>
    <row r="105" spans="2:14" x14ac:dyDescent="0.15">
      <c r="B105" s="33">
        <v>89</v>
      </c>
      <c r="C105" s="145">
        <f>Schülerprofil!C105</f>
        <v>0</v>
      </c>
      <c r="D105" s="127" t="s">
        <v>50</v>
      </c>
      <c r="E105" s="143"/>
      <c r="F105" s="129"/>
      <c r="G105" s="130"/>
      <c r="H105" s="144"/>
      <c r="I105" s="129"/>
      <c r="J105" s="132"/>
      <c r="K105" s="132"/>
      <c r="L105" s="132"/>
      <c r="M105" s="133">
        <f t="shared" si="1"/>
        <v>0</v>
      </c>
      <c r="N105" s="134"/>
    </row>
    <row r="106" spans="2:14" x14ac:dyDescent="0.15">
      <c r="B106" s="33">
        <v>90</v>
      </c>
      <c r="C106" s="147">
        <f>Schülerprofil!C106</f>
        <v>0</v>
      </c>
      <c r="D106" s="148" t="s">
        <v>50</v>
      </c>
      <c r="E106" s="143"/>
      <c r="F106" s="129"/>
      <c r="G106" s="130"/>
      <c r="H106" s="139"/>
      <c r="I106" s="129"/>
      <c r="J106" s="140"/>
      <c r="K106" s="140"/>
      <c r="L106" s="132"/>
      <c r="M106" s="141">
        <f t="shared" si="1"/>
        <v>0</v>
      </c>
      <c r="N106" s="149"/>
    </row>
    <row r="107" spans="2:14" x14ac:dyDescent="0.15">
      <c r="B107" s="33">
        <v>91</v>
      </c>
      <c r="C107" s="145">
        <f>Schülerprofil!C107</f>
        <v>0</v>
      </c>
      <c r="D107" s="127" t="s">
        <v>50</v>
      </c>
      <c r="E107" s="143"/>
      <c r="F107" s="129"/>
      <c r="G107" s="130"/>
      <c r="H107" s="144"/>
      <c r="I107" s="129"/>
      <c r="J107" s="132"/>
      <c r="K107" s="132"/>
      <c r="L107" s="132"/>
      <c r="M107" s="133">
        <f t="shared" si="1"/>
        <v>0</v>
      </c>
      <c r="N107" s="134"/>
    </row>
    <row r="108" spans="2:14" x14ac:dyDescent="0.15">
      <c r="B108" s="33">
        <v>92</v>
      </c>
      <c r="C108" s="147">
        <f>Schülerprofil!C108</f>
        <v>0</v>
      </c>
      <c r="D108" s="148" t="s">
        <v>50</v>
      </c>
      <c r="E108" s="143"/>
      <c r="F108" s="129"/>
      <c r="G108" s="130"/>
      <c r="H108" s="139"/>
      <c r="I108" s="129"/>
      <c r="J108" s="140"/>
      <c r="K108" s="140"/>
      <c r="L108" s="132"/>
      <c r="M108" s="141">
        <f t="shared" si="1"/>
        <v>0</v>
      </c>
      <c r="N108" s="149"/>
    </row>
    <row r="109" spans="2:14" x14ac:dyDescent="0.15">
      <c r="B109" s="33">
        <v>93</v>
      </c>
      <c r="C109" s="145">
        <f>Schülerprofil!C109</f>
        <v>0</v>
      </c>
      <c r="D109" s="127" t="s">
        <v>50</v>
      </c>
      <c r="E109" s="143"/>
      <c r="F109" s="129"/>
      <c r="G109" s="130"/>
      <c r="H109" s="144"/>
      <c r="I109" s="129"/>
      <c r="J109" s="132"/>
      <c r="K109" s="132"/>
      <c r="L109" s="132"/>
      <c r="M109" s="133">
        <f t="shared" si="1"/>
        <v>0</v>
      </c>
      <c r="N109" s="134"/>
    </row>
    <row r="110" spans="2:14" x14ac:dyDescent="0.15">
      <c r="B110" s="33">
        <v>94</v>
      </c>
      <c r="C110" s="147">
        <f>Schülerprofil!C110</f>
        <v>0</v>
      </c>
      <c r="D110" s="148" t="s">
        <v>50</v>
      </c>
      <c r="E110" s="143"/>
      <c r="F110" s="129"/>
      <c r="G110" s="130"/>
      <c r="H110" s="139"/>
      <c r="I110" s="129"/>
      <c r="J110" s="140"/>
      <c r="K110" s="140"/>
      <c r="L110" s="132"/>
      <c r="M110" s="141">
        <f t="shared" si="1"/>
        <v>0</v>
      </c>
      <c r="N110" s="149"/>
    </row>
    <row r="111" spans="2:14" x14ac:dyDescent="0.15">
      <c r="B111" s="33">
        <v>95</v>
      </c>
      <c r="C111" s="145">
        <f>Schülerprofil!C111</f>
        <v>0</v>
      </c>
      <c r="D111" s="127" t="s">
        <v>50</v>
      </c>
      <c r="E111" s="143"/>
      <c r="F111" s="129"/>
      <c r="G111" s="130"/>
      <c r="H111" s="144"/>
      <c r="I111" s="129"/>
      <c r="J111" s="132"/>
      <c r="K111" s="132"/>
      <c r="L111" s="132"/>
      <c r="M111" s="133">
        <f t="shared" si="1"/>
        <v>0</v>
      </c>
      <c r="N111" s="134"/>
    </row>
    <row r="112" spans="2:14" x14ac:dyDescent="0.15">
      <c r="B112" s="33">
        <v>96</v>
      </c>
      <c r="C112" s="147">
        <f>Schülerprofil!C112</f>
        <v>0</v>
      </c>
      <c r="D112" s="148" t="s">
        <v>50</v>
      </c>
      <c r="E112" s="143"/>
      <c r="F112" s="129"/>
      <c r="G112" s="130"/>
      <c r="H112" s="139"/>
      <c r="I112" s="129"/>
      <c r="J112" s="140"/>
      <c r="K112" s="140"/>
      <c r="L112" s="132"/>
      <c r="M112" s="141">
        <f t="shared" si="1"/>
        <v>0</v>
      </c>
      <c r="N112" s="149"/>
    </row>
    <row r="113" spans="2:14" x14ac:dyDescent="0.15">
      <c r="B113" s="33">
        <v>97</v>
      </c>
      <c r="C113" s="145">
        <f>Schülerprofil!C113</f>
        <v>0</v>
      </c>
      <c r="D113" s="127" t="s">
        <v>50</v>
      </c>
      <c r="E113" s="143"/>
      <c r="F113" s="129"/>
      <c r="G113" s="130"/>
      <c r="H113" s="144"/>
      <c r="I113" s="129"/>
      <c r="J113" s="132"/>
      <c r="K113" s="132"/>
      <c r="L113" s="132"/>
      <c r="M113" s="133">
        <f t="shared" si="1"/>
        <v>0</v>
      </c>
      <c r="N113" s="134"/>
    </row>
    <row r="114" spans="2:14" x14ac:dyDescent="0.15">
      <c r="B114" s="33">
        <v>98</v>
      </c>
      <c r="C114" s="147">
        <f>Schülerprofil!C114</f>
        <v>0</v>
      </c>
      <c r="D114" s="148" t="s">
        <v>50</v>
      </c>
      <c r="E114" s="143"/>
      <c r="F114" s="129"/>
      <c r="G114" s="130"/>
      <c r="H114" s="139"/>
      <c r="I114" s="129"/>
      <c r="J114" s="140"/>
      <c r="K114" s="140"/>
      <c r="L114" s="132"/>
      <c r="M114" s="141">
        <f t="shared" si="1"/>
        <v>0</v>
      </c>
      <c r="N114" s="149"/>
    </row>
    <row r="115" spans="2:14" x14ac:dyDescent="0.15">
      <c r="B115" s="33">
        <v>99</v>
      </c>
      <c r="C115" s="145">
        <f>Schülerprofil!C115</f>
        <v>0</v>
      </c>
      <c r="D115" s="127" t="s">
        <v>50</v>
      </c>
      <c r="E115" s="143"/>
      <c r="F115" s="129"/>
      <c r="G115" s="130"/>
      <c r="H115" s="144"/>
      <c r="I115" s="129"/>
      <c r="J115" s="132"/>
      <c r="K115" s="132"/>
      <c r="L115" s="132"/>
      <c r="M115" s="133">
        <f t="shared" si="1"/>
        <v>0</v>
      </c>
      <c r="N115" s="134"/>
    </row>
    <row r="116" spans="2:14" x14ac:dyDescent="0.15">
      <c r="B116" s="33">
        <v>100</v>
      </c>
      <c r="C116" s="147">
        <f>Schülerprofil!C116</f>
        <v>0</v>
      </c>
      <c r="D116" s="148" t="s">
        <v>50</v>
      </c>
      <c r="E116" s="143"/>
      <c r="F116" s="129"/>
      <c r="G116" s="130"/>
      <c r="H116" s="139"/>
      <c r="I116" s="129"/>
      <c r="J116" s="140"/>
      <c r="K116" s="140"/>
      <c r="L116" s="132"/>
      <c r="M116" s="141">
        <f t="shared" si="1"/>
        <v>0</v>
      </c>
      <c r="N116" s="149"/>
    </row>
    <row r="117" spans="2:14" x14ac:dyDescent="0.15">
      <c r="B117" s="33">
        <v>101</v>
      </c>
      <c r="C117" s="145">
        <f>Schülerprofil!C117</f>
        <v>0</v>
      </c>
      <c r="D117" s="127" t="s">
        <v>50</v>
      </c>
      <c r="E117" s="143"/>
      <c r="F117" s="129"/>
      <c r="G117" s="130"/>
      <c r="H117" s="144"/>
      <c r="I117" s="129"/>
      <c r="J117" s="132"/>
      <c r="K117" s="132"/>
      <c r="L117" s="132"/>
      <c r="M117" s="133">
        <f t="shared" si="1"/>
        <v>0</v>
      </c>
      <c r="N117" s="134"/>
    </row>
    <row r="118" spans="2:14" x14ac:dyDescent="0.15">
      <c r="B118" s="33">
        <v>102</v>
      </c>
      <c r="C118" s="147">
        <f>Schülerprofil!C118</f>
        <v>0</v>
      </c>
      <c r="D118" s="148" t="s">
        <v>50</v>
      </c>
      <c r="E118" s="143"/>
      <c r="F118" s="129"/>
      <c r="G118" s="130"/>
      <c r="H118" s="139"/>
      <c r="I118" s="129"/>
      <c r="J118" s="140"/>
      <c r="K118" s="140"/>
      <c r="L118" s="132"/>
      <c r="M118" s="141">
        <f t="shared" si="1"/>
        <v>0</v>
      </c>
      <c r="N118" s="149"/>
    </row>
    <row r="119" spans="2:14" x14ac:dyDescent="0.15">
      <c r="B119" s="33">
        <v>103</v>
      </c>
      <c r="C119" s="145">
        <f>Schülerprofil!C119</f>
        <v>0</v>
      </c>
      <c r="D119" s="127" t="s">
        <v>50</v>
      </c>
      <c r="E119" s="143"/>
      <c r="F119" s="129"/>
      <c r="G119" s="130"/>
      <c r="H119" s="144"/>
      <c r="I119" s="129"/>
      <c r="J119" s="132"/>
      <c r="K119" s="132"/>
      <c r="L119" s="132"/>
      <c r="M119" s="133">
        <f t="shared" si="1"/>
        <v>0</v>
      </c>
      <c r="N119" s="134"/>
    </row>
    <row r="120" spans="2:14" x14ac:dyDescent="0.15">
      <c r="B120" s="33">
        <v>104</v>
      </c>
      <c r="C120" s="147">
        <f>Schülerprofil!C120</f>
        <v>0</v>
      </c>
      <c r="D120" s="148" t="s">
        <v>50</v>
      </c>
      <c r="E120" s="143"/>
      <c r="F120" s="129"/>
      <c r="G120" s="130"/>
      <c r="H120" s="139"/>
      <c r="I120" s="129"/>
      <c r="J120" s="140"/>
      <c r="K120" s="140"/>
      <c r="L120" s="132"/>
      <c r="M120" s="141">
        <f t="shared" si="1"/>
        <v>0</v>
      </c>
      <c r="N120" s="149"/>
    </row>
    <row r="121" spans="2:14" x14ac:dyDescent="0.15">
      <c r="B121" s="33">
        <v>105</v>
      </c>
      <c r="C121" s="145">
        <f>Schülerprofil!C121</f>
        <v>0</v>
      </c>
      <c r="D121" s="127" t="s">
        <v>50</v>
      </c>
      <c r="E121" s="143"/>
      <c r="F121" s="129"/>
      <c r="G121" s="130"/>
      <c r="H121" s="144"/>
      <c r="I121" s="129"/>
      <c r="J121" s="132"/>
      <c r="K121" s="132"/>
      <c r="L121" s="132"/>
      <c r="M121" s="133">
        <f t="shared" si="1"/>
        <v>0</v>
      </c>
      <c r="N121" s="134"/>
    </row>
    <row r="122" spans="2:14" x14ac:dyDescent="0.15">
      <c r="B122" s="33">
        <v>106</v>
      </c>
      <c r="C122" s="147">
        <f>Schülerprofil!C122</f>
        <v>0</v>
      </c>
      <c r="D122" s="148" t="s">
        <v>50</v>
      </c>
      <c r="E122" s="143"/>
      <c r="F122" s="129"/>
      <c r="G122" s="130"/>
      <c r="H122" s="139"/>
      <c r="I122" s="129"/>
      <c r="J122" s="140"/>
      <c r="K122" s="140"/>
      <c r="L122" s="132"/>
      <c r="M122" s="141">
        <f t="shared" si="1"/>
        <v>0</v>
      </c>
      <c r="N122" s="149"/>
    </row>
    <row r="123" spans="2:14" x14ac:dyDescent="0.15">
      <c r="B123" s="33">
        <v>107</v>
      </c>
      <c r="C123" s="145">
        <f>Schülerprofil!C123</f>
        <v>0</v>
      </c>
      <c r="D123" s="152" t="s">
        <v>50</v>
      </c>
      <c r="E123" s="143"/>
      <c r="F123" s="129"/>
      <c r="G123" s="130"/>
      <c r="H123" s="144"/>
      <c r="I123" s="129"/>
      <c r="J123" s="132"/>
      <c r="K123" s="132"/>
      <c r="L123" s="132"/>
      <c r="M123" s="133">
        <f t="shared" si="1"/>
        <v>0</v>
      </c>
      <c r="N123" s="153"/>
    </row>
    <row r="124" spans="2:14" x14ac:dyDescent="0.15">
      <c r="B124" s="33">
        <v>108</v>
      </c>
      <c r="C124" s="147">
        <f>Schülerprofil!C124</f>
        <v>0</v>
      </c>
      <c r="D124" s="154" t="s">
        <v>50</v>
      </c>
      <c r="E124" s="143"/>
      <c r="F124" s="129"/>
      <c r="G124" s="130"/>
      <c r="H124" s="139"/>
      <c r="I124" s="129"/>
      <c r="J124" s="140"/>
      <c r="K124" s="140"/>
      <c r="L124" s="132"/>
      <c r="M124" s="141">
        <f t="shared" si="1"/>
        <v>0</v>
      </c>
      <c r="N124" s="155"/>
    </row>
    <row r="125" spans="2:14" x14ac:dyDescent="0.15">
      <c r="B125" s="33">
        <v>109</v>
      </c>
      <c r="C125" s="145">
        <f>Schülerprofil!C125</f>
        <v>0</v>
      </c>
      <c r="D125" s="152" t="s">
        <v>50</v>
      </c>
      <c r="E125" s="143"/>
      <c r="F125" s="129"/>
      <c r="G125" s="130"/>
      <c r="H125" s="144"/>
      <c r="I125" s="129"/>
      <c r="J125" s="132"/>
      <c r="K125" s="132"/>
      <c r="L125" s="132"/>
      <c r="M125" s="133">
        <f t="shared" si="1"/>
        <v>0</v>
      </c>
      <c r="N125" s="153"/>
    </row>
    <row r="126" spans="2:14" x14ac:dyDescent="0.15">
      <c r="B126" s="33">
        <v>110</v>
      </c>
      <c r="C126" s="147">
        <f>Schülerprofil!C126</f>
        <v>0</v>
      </c>
      <c r="D126" s="154" t="s">
        <v>50</v>
      </c>
      <c r="E126" s="143"/>
      <c r="F126" s="129"/>
      <c r="G126" s="130"/>
      <c r="H126" s="139"/>
      <c r="I126" s="129"/>
      <c r="J126" s="140"/>
      <c r="K126" s="140"/>
      <c r="L126" s="132"/>
      <c r="M126" s="141">
        <f t="shared" si="1"/>
        <v>0</v>
      </c>
      <c r="N126" s="155"/>
    </row>
    <row r="127" spans="2:14" x14ac:dyDescent="0.15">
      <c r="B127" s="33">
        <v>111</v>
      </c>
      <c r="C127" s="145">
        <f>Schülerprofil!C127</f>
        <v>0</v>
      </c>
      <c r="D127" s="152" t="s">
        <v>50</v>
      </c>
      <c r="E127" s="143"/>
      <c r="F127" s="129"/>
      <c r="G127" s="130"/>
      <c r="H127" s="144"/>
      <c r="I127" s="129"/>
      <c r="J127" s="132"/>
      <c r="K127" s="132"/>
      <c r="L127" s="132"/>
      <c r="M127" s="133">
        <f t="shared" si="1"/>
        <v>0</v>
      </c>
      <c r="N127" s="153"/>
    </row>
    <row r="128" spans="2:14" x14ac:dyDescent="0.15">
      <c r="B128" s="33">
        <v>112</v>
      </c>
      <c r="C128" s="147">
        <f>Schülerprofil!C128</f>
        <v>0</v>
      </c>
      <c r="D128" s="154" t="s">
        <v>50</v>
      </c>
      <c r="E128" s="143"/>
      <c r="F128" s="129"/>
      <c r="G128" s="130"/>
      <c r="H128" s="139"/>
      <c r="I128" s="129"/>
      <c r="J128" s="140"/>
      <c r="K128" s="140"/>
      <c r="L128" s="132"/>
      <c r="M128" s="141">
        <f t="shared" si="1"/>
        <v>0</v>
      </c>
      <c r="N128" s="155"/>
    </row>
    <row r="129" spans="2:14" x14ac:dyDescent="0.15">
      <c r="B129" s="33">
        <v>113</v>
      </c>
      <c r="C129" s="145">
        <f>Schülerprofil!C129</f>
        <v>0</v>
      </c>
      <c r="D129" s="152" t="s">
        <v>50</v>
      </c>
      <c r="E129" s="143"/>
      <c r="F129" s="129"/>
      <c r="G129" s="130"/>
      <c r="H129" s="144"/>
      <c r="I129" s="129"/>
      <c r="J129" s="132"/>
      <c r="K129" s="132"/>
      <c r="L129" s="132"/>
      <c r="M129" s="133">
        <f t="shared" si="1"/>
        <v>0</v>
      </c>
      <c r="N129" s="153"/>
    </row>
    <row r="130" spans="2:14" x14ac:dyDescent="0.15">
      <c r="B130" s="33">
        <v>114</v>
      </c>
      <c r="C130" s="147">
        <f>Schülerprofil!C130</f>
        <v>0</v>
      </c>
      <c r="D130" s="154" t="s">
        <v>50</v>
      </c>
      <c r="E130" s="143"/>
      <c r="F130" s="129"/>
      <c r="G130" s="130"/>
      <c r="H130" s="139"/>
      <c r="I130" s="129"/>
      <c r="J130" s="140"/>
      <c r="K130" s="140"/>
      <c r="L130" s="132"/>
      <c r="M130" s="141">
        <f t="shared" si="1"/>
        <v>0</v>
      </c>
      <c r="N130" s="155"/>
    </row>
    <row r="131" spans="2:14" x14ac:dyDescent="0.15">
      <c r="B131" s="33">
        <v>115</v>
      </c>
      <c r="C131" s="145">
        <f>Schülerprofil!C131</f>
        <v>0</v>
      </c>
      <c r="D131" s="152" t="s">
        <v>50</v>
      </c>
      <c r="E131" s="143"/>
      <c r="F131" s="129"/>
      <c r="G131" s="130"/>
      <c r="H131" s="144"/>
      <c r="I131" s="129"/>
      <c r="J131" s="132"/>
      <c r="K131" s="132"/>
      <c r="L131" s="132"/>
      <c r="M131" s="133">
        <f t="shared" si="1"/>
        <v>0</v>
      </c>
      <c r="N131" s="153"/>
    </row>
    <row r="132" spans="2:14" x14ac:dyDescent="0.15">
      <c r="B132" s="33">
        <v>116</v>
      </c>
      <c r="C132" s="147">
        <f>Schülerprofil!C132</f>
        <v>0</v>
      </c>
      <c r="D132" s="154" t="s">
        <v>50</v>
      </c>
      <c r="E132" s="143"/>
      <c r="F132" s="129"/>
      <c r="G132" s="130"/>
      <c r="H132" s="139"/>
      <c r="I132" s="129"/>
      <c r="J132" s="140"/>
      <c r="K132" s="140"/>
      <c r="L132" s="132"/>
      <c r="M132" s="141">
        <f t="shared" si="1"/>
        <v>0</v>
      </c>
      <c r="N132" s="155"/>
    </row>
    <row r="133" spans="2:14" x14ac:dyDescent="0.15">
      <c r="B133" s="33">
        <v>117</v>
      </c>
      <c r="C133" s="145">
        <f>Schülerprofil!C133</f>
        <v>0</v>
      </c>
      <c r="D133" s="152" t="s">
        <v>50</v>
      </c>
      <c r="E133" s="143"/>
      <c r="F133" s="129"/>
      <c r="G133" s="130"/>
      <c r="H133" s="144"/>
      <c r="I133" s="129"/>
      <c r="J133" s="132"/>
      <c r="K133" s="132"/>
      <c r="L133" s="132"/>
      <c r="M133" s="133">
        <f t="shared" si="1"/>
        <v>0</v>
      </c>
      <c r="N133" s="153"/>
    </row>
    <row r="134" spans="2:14" x14ac:dyDescent="0.15">
      <c r="B134" s="33">
        <v>118</v>
      </c>
      <c r="C134" s="147">
        <f>Schülerprofil!C134</f>
        <v>0</v>
      </c>
      <c r="D134" s="154" t="s">
        <v>50</v>
      </c>
      <c r="E134" s="143"/>
      <c r="F134" s="129"/>
      <c r="G134" s="130"/>
      <c r="H134" s="139"/>
      <c r="I134" s="129"/>
      <c r="J134" s="140"/>
      <c r="K134" s="140"/>
      <c r="L134" s="132"/>
      <c r="M134" s="141">
        <f t="shared" si="1"/>
        <v>0</v>
      </c>
      <c r="N134" s="155"/>
    </row>
    <row r="135" spans="2:14" x14ac:dyDescent="0.15">
      <c r="B135" s="33">
        <v>119</v>
      </c>
      <c r="C135" s="145">
        <f>Schülerprofil!C135</f>
        <v>0</v>
      </c>
      <c r="D135" s="152" t="s">
        <v>50</v>
      </c>
      <c r="E135" s="143"/>
      <c r="F135" s="129"/>
      <c r="G135" s="130"/>
      <c r="H135" s="144"/>
      <c r="I135" s="129"/>
      <c r="J135" s="132"/>
      <c r="K135" s="132"/>
      <c r="L135" s="132"/>
      <c r="M135" s="133">
        <f t="shared" si="1"/>
        <v>0</v>
      </c>
      <c r="N135" s="153"/>
    </row>
    <row r="136" spans="2:14" x14ac:dyDescent="0.15">
      <c r="B136" s="33">
        <v>120</v>
      </c>
      <c r="C136" s="147">
        <f>Schülerprofil!C136</f>
        <v>0</v>
      </c>
      <c r="D136" s="154" t="s">
        <v>50</v>
      </c>
      <c r="E136" s="143"/>
      <c r="F136" s="129"/>
      <c r="G136" s="130"/>
      <c r="H136" s="139"/>
      <c r="I136" s="129"/>
      <c r="J136" s="140"/>
      <c r="K136" s="140"/>
      <c r="L136" s="132"/>
      <c r="M136" s="141">
        <f t="shared" si="1"/>
        <v>0</v>
      </c>
      <c r="N136" s="155"/>
    </row>
    <row r="137" spans="2:14" x14ac:dyDescent="0.15">
      <c r="B137" s="33">
        <v>121</v>
      </c>
      <c r="C137" s="145">
        <f>Schülerprofil!C137</f>
        <v>0</v>
      </c>
      <c r="D137" s="152" t="s">
        <v>50</v>
      </c>
      <c r="E137" s="143"/>
      <c r="F137" s="129"/>
      <c r="G137" s="130"/>
      <c r="H137" s="144"/>
      <c r="I137" s="129"/>
      <c r="J137" s="132"/>
      <c r="K137" s="132"/>
      <c r="L137" s="132"/>
      <c r="M137" s="133">
        <f t="shared" si="1"/>
        <v>0</v>
      </c>
      <c r="N137" s="153"/>
    </row>
    <row r="138" spans="2:14" x14ac:dyDescent="0.15">
      <c r="B138" s="33">
        <v>122</v>
      </c>
      <c r="C138" s="147">
        <f>Schülerprofil!C138</f>
        <v>0</v>
      </c>
      <c r="D138" s="154" t="s">
        <v>50</v>
      </c>
      <c r="E138" s="143"/>
      <c r="F138" s="129"/>
      <c r="G138" s="130"/>
      <c r="H138" s="139"/>
      <c r="I138" s="129"/>
      <c r="J138" s="140"/>
      <c r="K138" s="140"/>
      <c r="L138" s="132"/>
      <c r="M138" s="141">
        <f t="shared" si="1"/>
        <v>0</v>
      </c>
      <c r="N138" s="155"/>
    </row>
    <row r="139" spans="2:14" x14ac:dyDescent="0.15">
      <c r="B139" s="33">
        <v>123</v>
      </c>
      <c r="C139" s="145">
        <f>Schülerprofil!C139</f>
        <v>0</v>
      </c>
      <c r="D139" s="152" t="s">
        <v>50</v>
      </c>
      <c r="E139" s="143"/>
      <c r="F139" s="129"/>
      <c r="G139" s="130"/>
      <c r="H139" s="144"/>
      <c r="I139" s="129"/>
      <c r="J139" s="132"/>
      <c r="K139" s="132"/>
      <c r="L139" s="132"/>
      <c r="M139" s="133">
        <f t="shared" si="1"/>
        <v>0</v>
      </c>
      <c r="N139" s="153"/>
    </row>
    <row r="140" spans="2:14" x14ac:dyDescent="0.15">
      <c r="B140" s="33">
        <v>124</v>
      </c>
      <c r="C140" s="147">
        <f>Schülerprofil!C140</f>
        <v>0</v>
      </c>
      <c r="D140" s="154" t="s">
        <v>50</v>
      </c>
      <c r="E140" s="143"/>
      <c r="F140" s="129"/>
      <c r="G140" s="130"/>
      <c r="H140" s="139"/>
      <c r="I140" s="129"/>
      <c r="J140" s="140"/>
      <c r="K140" s="140"/>
      <c r="L140" s="132"/>
      <c r="M140" s="141">
        <f t="shared" si="1"/>
        <v>0</v>
      </c>
      <c r="N140" s="155"/>
    </row>
    <row r="141" spans="2:14" x14ac:dyDescent="0.15">
      <c r="B141" s="33">
        <v>125</v>
      </c>
      <c r="C141" s="145">
        <f>Schülerprofil!C141</f>
        <v>0</v>
      </c>
      <c r="D141" s="152" t="s">
        <v>50</v>
      </c>
      <c r="E141" s="143"/>
      <c r="F141" s="129"/>
      <c r="G141" s="130"/>
      <c r="H141" s="144"/>
      <c r="I141" s="129"/>
      <c r="J141" s="132"/>
      <c r="K141" s="132"/>
      <c r="L141" s="132"/>
      <c r="M141" s="133">
        <f t="shared" si="1"/>
        <v>0</v>
      </c>
      <c r="N141" s="153"/>
    </row>
    <row r="142" spans="2:14" x14ac:dyDescent="0.15">
      <c r="B142" s="33">
        <v>126</v>
      </c>
      <c r="C142" s="147">
        <f>Schülerprofil!C142</f>
        <v>0</v>
      </c>
      <c r="D142" s="154" t="s">
        <v>50</v>
      </c>
      <c r="E142" s="143"/>
      <c r="F142" s="129"/>
      <c r="G142" s="130"/>
      <c r="H142" s="139"/>
      <c r="I142" s="129"/>
      <c r="J142" s="140"/>
      <c r="K142" s="140"/>
      <c r="L142" s="132"/>
      <c r="M142" s="141">
        <f t="shared" si="1"/>
        <v>0</v>
      </c>
      <c r="N142" s="155"/>
    </row>
    <row r="143" spans="2:14" x14ac:dyDescent="0.15">
      <c r="B143" s="33">
        <v>127</v>
      </c>
      <c r="C143" s="145">
        <f>Schülerprofil!C143</f>
        <v>0</v>
      </c>
      <c r="D143" s="152" t="s">
        <v>50</v>
      </c>
      <c r="E143" s="143"/>
      <c r="F143" s="129"/>
      <c r="G143" s="130"/>
      <c r="H143" s="144"/>
      <c r="I143" s="129"/>
      <c r="J143" s="132"/>
      <c r="K143" s="132"/>
      <c r="L143" s="132"/>
      <c r="M143" s="133">
        <f t="shared" si="1"/>
        <v>0</v>
      </c>
      <c r="N143" s="153"/>
    </row>
    <row r="144" spans="2:14" x14ac:dyDescent="0.15">
      <c r="B144" s="33">
        <v>128</v>
      </c>
      <c r="C144" s="147">
        <f>Schülerprofil!C144</f>
        <v>0</v>
      </c>
      <c r="D144" s="154" t="s">
        <v>50</v>
      </c>
      <c r="E144" s="143"/>
      <c r="F144" s="129"/>
      <c r="G144" s="130"/>
      <c r="H144" s="139"/>
      <c r="I144" s="129"/>
      <c r="J144" s="140"/>
      <c r="K144" s="140"/>
      <c r="L144" s="132"/>
      <c r="M144" s="141">
        <f t="shared" si="1"/>
        <v>0</v>
      </c>
      <c r="N144" s="155"/>
    </row>
    <row r="145" spans="2:14" x14ac:dyDescent="0.15">
      <c r="B145" s="33">
        <v>129</v>
      </c>
      <c r="C145" s="145">
        <f>Schülerprofil!C145</f>
        <v>0</v>
      </c>
      <c r="D145" s="152" t="s">
        <v>50</v>
      </c>
      <c r="E145" s="143"/>
      <c r="F145" s="129"/>
      <c r="G145" s="130"/>
      <c r="H145" s="144"/>
      <c r="I145" s="129"/>
      <c r="J145" s="132"/>
      <c r="K145" s="132"/>
      <c r="L145" s="132"/>
      <c r="M145" s="133">
        <f t="shared" si="1"/>
        <v>0</v>
      </c>
      <c r="N145" s="153"/>
    </row>
    <row r="146" spans="2:14" x14ac:dyDescent="0.15">
      <c r="B146" s="33">
        <v>130</v>
      </c>
      <c r="C146" s="147">
        <f>Schülerprofil!C146</f>
        <v>0</v>
      </c>
      <c r="D146" s="154" t="s">
        <v>50</v>
      </c>
      <c r="E146" s="143"/>
      <c r="F146" s="129"/>
      <c r="G146" s="130"/>
      <c r="H146" s="139"/>
      <c r="I146" s="129"/>
      <c r="J146" s="140"/>
      <c r="K146" s="140"/>
      <c r="L146" s="132"/>
      <c r="M146" s="141">
        <f t="shared" ref="M146:M164" si="2" xml:space="preserve"> (K146*54)+(L146*9)</f>
        <v>0</v>
      </c>
      <c r="N146" s="155"/>
    </row>
    <row r="147" spans="2:14" x14ac:dyDescent="0.15">
      <c r="B147" s="33">
        <v>131</v>
      </c>
      <c r="C147" s="145">
        <f>Schülerprofil!C147</f>
        <v>0</v>
      </c>
      <c r="D147" s="152" t="s">
        <v>50</v>
      </c>
      <c r="E147" s="143"/>
      <c r="F147" s="129"/>
      <c r="G147" s="130"/>
      <c r="H147" s="144"/>
      <c r="I147" s="129"/>
      <c r="J147" s="132"/>
      <c r="K147" s="132"/>
      <c r="L147" s="132"/>
      <c r="M147" s="133">
        <f t="shared" si="2"/>
        <v>0</v>
      </c>
      <c r="N147" s="153"/>
    </row>
    <row r="148" spans="2:14" x14ac:dyDescent="0.15">
      <c r="B148" s="33">
        <v>132</v>
      </c>
      <c r="C148" s="147">
        <f>Schülerprofil!C148</f>
        <v>0</v>
      </c>
      <c r="D148" s="154" t="s">
        <v>50</v>
      </c>
      <c r="E148" s="143"/>
      <c r="F148" s="129"/>
      <c r="G148" s="130"/>
      <c r="H148" s="139"/>
      <c r="I148" s="129"/>
      <c r="J148" s="140"/>
      <c r="K148" s="140"/>
      <c r="L148" s="132"/>
      <c r="M148" s="141">
        <f t="shared" si="2"/>
        <v>0</v>
      </c>
      <c r="N148" s="155"/>
    </row>
    <row r="149" spans="2:14" x14ac:dyDescent="0.15">
      <c r="B149" s="33">
        <v>133</v>
      </c>
      <c r="C149" s="145">
        <f>Schülerprofil!C149</f>
        <v>0</v>
      </c>
      <c r="D149" s="152" t="s">
        <v>50</v>
      </c>
      <c r="E149" s="143"/>
      <c r="F149" s="129"/>
      <c r="G149" s="130"/>
      <c r="H149" s="144"/>
      <c r="I149" s="129"/>
      <c r="J149" s="132"/>
      <c r="K149" s="132"/>
      <c r="L149" s="132"/>
      <c r="M149" s="133">
        <f t="shared" si="2"/>
        <v>0</v>
      </c>
      <c r="N149" s="153"/>
    </row>
    <row r="150" spans="2:14" x14ac:dyDescent="0.15">
      <c r="B150" s="33">
        <v>134</v>
      </c>
      <c r="C150" s="147">
        <f>Schülerprofil!C150</f>
        <v>0</v>
      </c>
      <c r="D150" s="154" t="s">
        <v>50</v>
      </c>
      <c r="E150" s="143"/>
      <c r="F150" s="129"/>
      <c r="G150" s="130"/>
      <c r="H150" s="139"/>
      <c r="I150" s="129"/>
      <c r="J150" s="140"/>
      <c r="K150" s="140"/>
      <c r="L150" s="132"/>
      <c r="M150" s="141">
        <f t="shared" si="2"/>
        <v>0</v>
      </c>
      <c r="N150" s="155"/>
    </row>
    <row r="151" spans="2:14" x14ac:dyDescent="0.15">
      <c r="B151" s="33">
        <v>135</v>
      </c>
      <c r="C151" s="145">
        <f>Schülerprofil!C151</f>
        <v>0</v>
      </c>
      <c r="D151" s="152" t="s">
        <v>50</v>
      </c>
      <c r="E151" s="143"/>
      <c r="F151" s="129"/>
      <c r="G151" s="130"/>
      <c r="H151" s="144"/>
      <c r="I151" s="129"/>
      <c r="J151" s="132"/>
      <c r="K151" s="132"/>
      <c r="L151" s="132"/>
      <c r="M151" s="133">
        <f t="shared" si="2"/>
        <v>0</v>
      </c>
      <c r="N151" s="153"/>
    </row>
    <row r="152" spans="2:14" x14ac:dyDescent="0.15">
      <c r="B152" s="33">
        <v>136</v>
      </c>
      <c r="C152" s="147">
        <f>Schülerprofil!C152</f>
        <v>0</v>
      </c>
      <c r="D152" s="154" t="s">
        <v>50</v>
      </c>
      <c r="E152" s="143"/>
      <c r="F152" s="129"/>
      <c r="G152" s="130"/>
      <c r="H152" s="139"/>
      <c r="I152" s="129"/>
      <c r="J152" s="140"/>
      <c r="K152" s="140"/>
      <c r="L152" s="132"/>
      <c r="M152" s="141">
        <f t="shared" si="2"/>
        <v>0</v>
      </c>
      <c r="N152" s="155"/>
    </row>
    <row r="153" spans="2:14" x14ac:dyDescent="0.15">
      <c r="B153" s="33">
        <v>137</v>
      </c>
      <c r="C153" s="145">
        <f>Schülerprofil!C153</f>
        <v>0</v>
      </c>
      <c r="D153" s="152" t="s">
        <v>50</v>
      </c>
      <c r="E153" s="143"/>
      <c r="F153" s="129"/>
      <c r="G153" s="130"/>
      <c r="H153" s="144"/>
      <c r="I153" s="129"/>
      <c r="J153" s="132"/>
      <c r="K153" s="132"/>
      <c r="L153" s="132"/>
      <c r="M153" s="133">
        <f t="shared" si="2"/>
        <v>0</v>
      </c>
      <c r="N153" s="153"/>
    </row>
    <row r="154" spans="2:14" x14ac:dyDescent="0.15">
      <c r="B154" s="33">
        <v>138</v>
      </c>
      <c r="C154" s="147">
        <f>Schülerprofil!C154</f>
        <v>0</v>
      </c>
      <c r="D154" s="154" t="s">
        <v>50</v>
      </c>
      <c r="E154" s="143"/>
      <c r="F154" s="129"/>
      <c r="G154" s="130"/>
      <c r="H154" s="139"/>
      <c r="I154" s="129"/>
      <c r="J154" s="140"/>
      <c r="K154" s="140"/>
      <c r="L154" s="132"/>
      <c r="M154" s="141">
        <f t="shared" si="2"/>
        <v>0</v>
      </c>
      <c r="N154" s="155"/>
    </row>
    <row r="155" spans="2:14" x14ac:dyDescent="0.15">
      <c r="B155" s="33">
        <v>139</v>
      </c>
      <c r="C155" s="145">
        <f>Schülerprofil!C155</f>
        <v>0</v>
      </c>
      <c r="D155" s="152" t="s">
        <v>50</v>
      </c>
      <c r="E155" s="143"/>
      <c r="F155" s="129"/>
      <c r="G155" s="130"/>
      <c r="H155" s="144"/>
      <c r="I155" s="129"/>
      <c r="J155" s="132"/>
      <c r="K155" s="132"/>
      <c r="L155" s="132"/>
      <c r="M155" s="133">
        <f t="shared" si="2"/>
        <v>0</v>
      </c>
      <c r="N155" s="153"/>
    </row>
    <row r="156" spans="2:14" x14ac:dyDescent="0.15">
      <c r="B156" s="33">
        <v>140</v>
      </c>
      <c r="C156" s="147">
        <f>Schülerprofil!C156</f>
        <v>0</v>
      </c>
      <c r="D156" s="154" t="s">
        <v>50</v>
      </c>
      <c r="E156" s="143"/>
      <c r="F156" s="129"/>
      <c r="G156" s="130"/>
      <c r="H156" s="139"/>
      <c r="I156" s="129"/>
      <c r="J156" s="140"/>
      <c r="K156" s="140"/>
      <c r="L156" s="132"/>
      <c r="M156" s="141">
        <f t="shared" si="2"/>
        <v>0</v>
      </c>
      <c r="N156" s="155"/>
    </row>
    <row r="157" spans="2:14" x14ac:dyDescent="0.15">
      <c r="B157" s="33">
        <v>141</v>
      </c>
      <c r="C157" s="145">
        <f>Schülerprofil!C157</f>
        <v>0</v>
      </c>
      <c r="D157" s="152" t="s">
        <v>50</v>
      </c>
      <c r="E157" s="143"/>
      <c r="F157" s="129"/>
      <c r="G157" s="130"/>
      <c r="H157" s="144"/>
      <c r="I157" s="129"/>
      <c r="J157" s="132"/>
      <c r="K157" s="132"/>
      <c r="L157" s="132"/>
      <c r="M157" s="133">
        <f t="shared" si="2"/>
        <v>0</v>
      </c>
      <c r="N157" s="153"/>
    </row>
    <row r="158" spans="2:14" x14ac:dyDescent="0.15">
      <c r="B158" s="33">
        <v>142</v>
      </c>
      <c r="C158" s="147">
        <f>Schülerprofil!C158</f>
        <v>0</v>
      </c>
      <c r="D158" s="154" t="s">
        <v>50</v>
      </c>
      <c r="E158" s="143"/>
      <c r="F158" s="129"/>
      <c r="G158" s="130"/>
      <c r="H158" s="139"/>
      <c r="I158" s="129"/>
      <c r="J158" s="140"/>
      <c r="K158" s="140"/>
      <c r="L158" s="132"/>
      <c r="M158" s="141">
        <f t="shared" si="2"/>
        <v>0</v>
      </c>
      <c r="N158" s="155"/>
    </row>
    <row r="159" spans="2:14" x14ac:dyDescent="0.15">
      <c r="B159" s="33">
        <v>143</v>
      </c>
      <c r="C159" s="145">
        <f>Schülerprofil!C159</f>
        <v>0</v>
      </c>
      <c r="D159" s="152" t="s">
        <v>50</v>
      </c>
      <c r="E159" s="143"/>
      <c r="F159" s="129"/>
      <c r="G159" s="130"/>
      <c r="H159" s="144"/>
      <c r="I159" s="129"/>
      <c r="J159" s="132"/>
      <c r="K159" s="132"/>
      <c r="L159" s="132"/>
      <c r="M159" s="133">
        <f t="shared" si="2"/>
        <v>0</v>
      </c>
      <c r="N159" s="153"/>
    </row>
    <row r="160" spans="2:14" x14ac:dyDescent="0.15">
      <c r="B160" s="33">
        <v>144</v>
      </c>
      <c r="C160" s="147">
        <f>Schülerprofil!C160</f>
        <v>0</v>
      </c>
      <c r="D160" s="154" t="s">
        <v>50</v>
      </c>
      <c r="E160" s="143"/>
      <c r="F160" s="129"/>
      <c r="G160" s="130"/>
      <c r="H160" s="139"/>
      <c r="I160" s="129"/>
      <c r="J160" s="140"/>
      <c r="K160" s="140"/>
      <c r="L160" s="132"/>
      <c r="M160" s="141">
        <f t="shared" si="2"/>
        <v>0</v>
      </c>
      <c r="N160" s="155"/>
    </row>
    <row r="161" spans="2:14" x14ac:dyDescent="0.15">
      <c r="B161" s="33">
        <v>145</v>
      </c>
      <c r="C161" s="145">
        <f>Schülerprofil!C161</f>
        <v>0</v>
      </c>
      <c r="D161" s="152" t="s">
        <v>50</v>
      </c>
      <c r="E161" s="143"/>
      <c r="F161" s="129"/>
      <c r="G161" s="130"/>
      <c r="H161" s="144"/>
      <c r="I161" s="129"/>
      <c r="J161" s="132"/>
      <c r="K161" s="132"/>
      <c r="L161" s="132"/>
      <c r="M161" s="133">
        <f t="shared" si="2"/>
        <v>0</v>
      </c>
      <c r="N161" s="153"/>
    </row>
    <row r="162" spans="2:14" x14ac:dyDescent="0.15">
      <c r="B162" s="33">
        <v>146</v>
      </c>
      <c r="C162" s="147">
        <f>Schülerprofil!C162</f>
        <v>0</v>
      </c>
      <c r="D162" s="154" t="s">
        <v>50</v>
      </c>
      <c r="E162" s="143"/>
      <c r="F162" s="129"/>
      <c r="G162" s="130"/>
      <c r="H162" s="139"/>
      <c r="I162" s="129"/>
      <c r="J162" s="140"/>
      <c r="K162" s="140"/>
      <c r="L162" s="156"/>
      <c r="M162" s="141">
        <f t="shared" si="2"/>
        <v>0</v>
      </c>
      <c r="N162" s="155"/>
    </row>
    <row r="163" spans="2:14" x14ac:dyDescent="0.15">
      <c r="B163" s="33">
        <v>147</v>
      </c>
      <c r="C163" s="145">
        <f>Schülerprofil!C163</f>
        <v>0</v>
      </c>
      <c r="D163" s="152" t="s">
        <v>50</v>
      </c>
      <c r="E163" s="143"/>
      <c r="F163" s="129"/>
      <c r="G163" s="130"/>
      <c r="H163" s="144"/>
      <c r="I163" s="129"/>
      <c r="J163" s="132"/>
      <c r="K163" s="132"/>
      <c r="L163" s="132"/>
      <c r="M163" s="133">
        <f t="shared" si="2"/>
        <v>0</v>
      </c>
      <c r="N163" s="153"/>
    </row>
    <row r="164" spans="2:14" x14ac:dyDescent="0.15">
      <c r="B164" s="33">
        <v>148</v>
      </c>
      <c r="C164" s="147">
        <f>Schülerprofil!C164</f>
        <v>0</v>
      </c>
      <c r="D164" s="154" t="s">
        <v>50</v>
      </c>
      <c r="E164" s="143"/>
      <c r="F164" s="129"/>
      <c r="G164" s="130"/>
      <c r="H164" s="139"/>
      <c r="I164" s="129"/>
      <c r="J164" s="140"/>
      <c r="K164" s="140"/>
      <c r="L164" s="132"/>
      <c r="M164" s="141">
        <f t="shared" si="2"/>
        <v>0</v>
      </c>
      <c r="N164" s="155"/>
    </row>
    <row r="165" spans="2:14" x14ac:dyDescent="0.15">
      <c r="B165" s="33">
        <v>149</v>
      </c>
      <c r="C165" s="145">
        <f>Schülerprofil!C165</f>
        <v>0</v>
      </c>
      <c r="D165" s="152" t="s">
        <v>50</v>
      </c>
      <c r="E165" s="143"/>
      <c r="F165" s="129"/>
      <c r="G165" s="130"/>
      <c r="H165" s="144"/>
      <c r="I165" s="129"/>
      <c r="J165" s="132"/>
      <c r="K165" s="132"/>
      <c r="L165" s="132"/>
      <c r="M165" s="133"/>
      <c r="N165" s="153"/>
    </row>
    <row r="166" spans="2:14" ht="15" thickBot="1" x14ac:dyDescent="0.2">
      <c r="B166" s="33">
        <v>150</v>
      </c>
      <c r="C166" s="157">
        <f>Schülerprofil!C166</f>
        <v>0</v>
      </c>
      <c r="D166" s="158" t="s">
        <v>50</v>
      </c>
      <c r="E166" s="159"/>
      <c r="F166" s="160"/>
      <c r="G166" s="161"/>
      <c r="H166" s="162"/>
      <c r="I166" s="160"/>
      <c r="J166" s="163"/>
      <c r="K166" s="163"/>
      <c r="L166" s="163"/>
      <c r="M166" s="164"/>
      <c r="N166" s="165"/>
    </row>
    <row r="167" spans="2:14" x14ac:dyDescent="0.15">
      <c r="B167" s="30"/>
      <c r="D167" s="30"/>
      <c r="E167" s="30"/>
      <c r="F167" s="30"/>
      <c r="G167" s="30"/>
      <c r="H167" s="30"/>
      <c r="I167" s="30"/>
    </row>
    <row r="168" spans="2:14" ht="15" thickBot="1" x14ac:dyDescent="0.2">
      <c r="B168" s="30"/>
      <c r="D168" s="30"/>
      <c r="E168" s="30"/>
      <c r="F168" s="30"/>
      <c r="G168" s="30"/>
      <c r="H168" s="30"/>
      <c r="I168" s="30"/>
    </row>
    <row r="169" spans="2:14" ht="15" customHeight="1" x14ac:dyDescent="0.15">
      <c r="B169" s="30"/>
      <c r="D169" s="256" t="s">
        <v>93</v>
      </c>
      <c r="E169" s="257"/>
      <c r="F169" s="258"/>
      <c r="G169" s="30"/>
      <c r="H169" s="265"/>
      <c r="I169" s="265"/>
      <c r="J169" s="265"/>
      <c r="K169" s="166"/>
      <c r="L169" s="166"/>
      <c r="M169" s="166"/>
    </row>
    <row r="170" spans="2:14" ht="15" customHeight="1" x14ac:dyDescent="0.15">
      <c r="B170" s="30"/>
      <c r="D170" s="259"/>
      <c r="E170" s="260"/>
      <c r="F170" s="261"/>
      <c r="G170" s="30"/>
      <c r="H170" s="265"/>
      <c r="I170" s="265"/>
      <c r="J170" s="265"/>
      <c r="K170" s="166"/>
      <c r="L170" s="166"/>
      <c r="M170" s="166"/>
    </row>
    <row r="171" spans="2:14" ht="15" customHeight="1" thickBot="1" x14ac:dyDescent="0.2">
      <c r="B171" s="30"/>
      <c r="D171" s="262"/>
      <c r="E171" s="263"/>
      <c r="F171" s="264"/>
      <c r="G171" s="30"/>
      <c r="H171" s="265"/>
      <c r="I171" s="265"/>
      <c r="J171" s="265"/>
      <c r="K171" s="166"/>
      <c r="L171" s="166"/>
      <c r="M171" s="166"/>
    </row>
    <row r="172" spans="2:14" ht="15" customHeight="1" x14ac:dyDescent="0.15">
      <c r="B172" s="30"/>
      <c r="D172" s="167"/>
      <c r="E172" s="167"/>
      <c r="F172" s="167"/>
      <c r="G172" s="30"/>
      <c r="H172" s="30"/>
      <c r="I172" s="30"/>
    </row>
    <row r="173" spans="2:14" x14ac:dyDescent="0.15">
      <c r="B173" s="30"/>
      <c r="D173" s="30"/>
      <c r="E173" s="30"/>
      <c r="F173" s="30"/>
      <c r="G173" s="30"/>
      <c r="H173" s="30"/>
      <c r="I173" s="30"/>
    </row>
    <row r="174" spans="2:14" x14ac:dyDescent="0.15">
      <c r="B174" s="30"/>
      <c r="D174" s="30"/>
      <c r="E174" s="30"/>
      <c r="F174" s="30"/>
      <c r="G174" s="30"/>
      <c r="H174" s="30"/>
      <c r="I174" s="30"/>
    </row>
    <row r="175" spans="2:14" x14ac:dyDescent="0.15">
      <c r="B175" s="30"/>
      <c r="D175" s="30"/>
      <c r="E175" s="30"/>
      <c r="F175" s="30"/>
      <c r="G175" s="30"/>
      <c r="H175" s="30"/>
      <c r="I175" s="30"/>
    </row>
    <row r="176" spans="2:14" x14ac:dyDescent="0.15">
      <c r="B176" s="30"/>
      <c r="D176" s="30"/>
      <c r="E176" s="30"/>
      <c r="F176" s="30"/>
      <c r="G176" s="30"/>
      <c r="H176" s="30"/>
      <c r="I176" s="30"/>
    </row>
    <row r="177" s="30" customFormat="1" x14ac:dyDescent="0.15"/>
    <row r="178" s="30" customFormat="1" x14ac:dyDescent="0.15"/>
    <row r="179" s="30" customFormat="1" x14ac:dyDescent="0.15"/>
    <row r="180" s="30" customFormat="1" x14ac:dyDescent="0.15"/>
    <row r="181" s="30" customFormat="1" x14ac:dyDescent="0.15"/>
    <row r="182" s="30" customFormat="1" x14ac:dyDescent="0.15"/>
    <row r="183" s="30" customFormat="1" x14ac:dyDescent="0.15"/>
    <row r="184" s="30" customFormat="1" x14ac:dyDescent="0.15"/>
    <row r="185" s="30" customFormat="1" x14ac:dyDescent="0.15"/>
    <row r="186" s="30" customFormat="1" x14ac:dyDescent="0.15"/>
    <row r="187" s="30" customFormat="1" x14ac:dyDescent="0.15"/>
    <row r="188" s="30" customFormat="1" x14ac:dyDescent="0.15"/>
    <row r="189" s="30" customFormat="1" x14ac:dyDescent="0.15"/>
    <row r="190" s="30" customFormat="1" x14ac:dyDescent="0.15"/>
    <row r="191" s="30" customFormat="1" x14ac:dyDescent="0.15"/>
    <row r="192" s="30" customFormat="1" x14ac:dyDescent="0.15"/>
    <row r="193" s="30" customFormat="1" x14ac:dyDescent="0.15"/>
    <row r="194" s="30" customFormat="1" x14ac:dyDescent="0.15"/>
    <row r="195" s="30" customFormat="1" x14ac:dyDescent="0.15"/>
    <row r="196" s="30" customFormat="1" x14ac:dyDescent="0.15"/>
    <row r="197" s="30" customFormat="1" x14ac:dyDescent="0.15"/>
    <row r="198" s="30" customFormat="1" x14ac:dyDescent="0.15"/>
    <row r="199" s="30" customFormat="1" x14ac:dyDescent="0.15"/>
    <row r="200" s="30" customFormat="1" x14ac:dyDescent="0.15"/>
    <row r="201" s="30" customFormat="1" x14ac:dyDescent="0.15"/>
    <row r="202" s="30" customFormat="1" x14ac:dyDescent="0.15"/>
    <row r="203" s="30" customFormat="1" x14ac:dyDescent="0.15"/>
    <row r="204" s="30" customFormat="1" x14ac:dyDescent="0.15"/>
  </sheetData>
  <sheetProtection formatCells="0" formatColumns="0" formatRows="0" insertColumns="0" insertRows="0" insertHyperlinks="0" deleteColumns="0" deleteRows="0" selectLockedCells="1" sort="0" autoFilter="0" pivotTables="0"/>
  <mergeCells count="9">
    <mergeCell ref="M14:M15"/>
    <mergeCell ref="I5:J6"/>
    <mergeCell ref="I10:J10"/>
    <mergeCell ref="A16:B16"/>
    <mergeCell ref="D169:F171"/>
    <mergeCell ref="H169:J171"/>
    <mergeCell ref="I8:J9"/>
    <mergeCell ref="K14:K15"/>
    <mergeCell ref="L14:L15"/>
  </mergeCells>
  <conditionalFormatting sqref="E17">
    <cfRule type="cellIs" dxfId="30" priority="58" stopIfTrue="1" operator="between">
      <formula>3.1</formula>
      <formula>5.9</formula>
    </cfRule>
  </conditionalFormatting>
  <conditionalFormatting sqref="E17:E166">
    <cfRule type="cellIs" dxfId="29" priority="70" stopIfTrue="1" operator="notBetween">
      <formula>3.1</formula>
      <formula>5.9</formula>
    </cfRule>
  </conditionalFormatting>
  <conditionalFormatting sqref="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E162 E164 E166">
    <cfRule type="cellIs" dxfId="28" priority="61" stopIfTrue="1" operator="between">
      <formula>3.1</formula>
      <formula>5.9</formula>
    </cfRule>
  </conditionalFormatting>
  <conditionalFormatting sqref="E17:G17 E19:G19 E21:G21 E23:G23 E25:G25 E27:G27 E29:G29 E31:G31 E33:G33 E35:G35 E37:G37 E39:G39 E41:G41 E43:G43 E45:G45 E47:G47 E49:G49 E51:G51 E53:G53 E55:G55 E57:G57 E59:G59 E61:G61 E63:G63 E65:G65 E67:G67 E69:G69 E71:G71 E73:G73 E75:G75 E77:G77 E79:G79 E81:G81 E83:G83 E85:G85 E87:G87 E89:G89 E91:G91 E93:G93 E95:G95 E97:G97 E99:G99 E101:G101 E103:G103 E105:G105 E107:G107 E109:G109 E111:G111 E113:G113 E115:G115 E117:G117 E119:G119 E121:G121 E123:G123 E125:G125 E127:G127 E129:G129 E131:G131 E133:G133 E135:G135 E137:G137 E139:G139 E141:G141 E143:G143 E145:G145 E147:G147 E149:G149 E151:G151 E153:G153 E155:G155 E157:G157 E159:G159 E161:G161 E163:G163 E165:G165">
    <cfRule type="cellIs" dxfId="27" priority="21" operator="equal">
      <formula>0</formula>
    </cfRule>
  </conditionalFormatting>
  <conditionalFormatting sqref="E18:G18 I18:M18 E20:G20 I20:M20 E22:G22 I22:M22 E24:G24 I24:M24 E26:G26 I26:M26 E28:G28 I28:M28 E30:G30 I30:M30 E32:G32 I32:M32 E34:G34 I34:M34 E36:G36 I36:M36 E38:G38 I38:M38 E40:G40 I40:M40 E42:G42 I42:M42 E44:G44 I44:M44 E46:G46 I46:M46 E48:G48 I48:M48 E50:G50 I50:M50 E52:G52 I52:M52 E54:G54 I54:M54 E56:G56 I56:M56 E58:G58 I58:M58 E60:G60 I60:M60 E62:G62 I62:M62 E64:G64 I64:M64 E66:G66 I66:M66 E68:G68 I68:M68 E70:G70 I70:M70 E72:G72 I72:M72 E74:G74 I74:M74 E76:G76 I76:M76 E78:G78 I78:M78 E80:G80 I80:M80 E82:G82 I82:M82 E84:G84 I84:M84 E86:G86 I86:M86 E88:G88 I88:M88 E90:G90 I90:M90 E92:G92 I92:M92 E94:G94 I94:M94 E96:G96 I96:M96 E98:G98 I98:M98 E100:G100 I100:M100 E102:G102 I102:M102 E104:G104 I104:M104 E106:G106 I106:M106 E108:G108 I108:M108 E110:G110 I110:M110 E112:G112 I112:M112 E114:G114 I114:M114 E116:G116 I116:M116 E118:G118 I118:M118 E120:G120 I120:M120 E122:G122 I122:M122 E124:G124 I124:M124 E126:G126 I126:M126 E128:G128 I128:M128 E130:G130 I130:M130 E132:G132 I132:M132 E134:G134 I134:M134 E136:G136 I136:M136 E138:G138 I138:M138 E140:G140 I140:M140 E142:G142 I142:M142 E144:G144 I144:M144 E146:G146 I146:M146 E148:G148 I148:M148 E150:G150 I150:M150 E152:G152 I152:M152 E154:G154 I154:M154 E156:G156 I156:M156 E158:G158 I158:M158 E160:G160 I160:M160 E162:G162 I162:M162 E164:G164 I164:M164 E166:G166 I166:M166">
    <cfRule type="cellIs" dxfId="26" priority="2" operator="equal">
      <formula>0</formula>
    </cfRule>
  </conditionalFormatting>
  <conditionalFormatting sqref="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cfRule type="cellIs" dxfId="25" priority="23" operator="between">
      <formula>1.5</formula>
      <formula>6.2</formula>
    </cfRule>
  </conditionalFormatting>
  <conditionalFormatting sqref="F17:F166">
    <cfRule type="cellIs" dxfId="24" priority="76" stopIfTrue="1" operator="notBetween">
      <formula>1.5</formula>
      <formula>6.2</formula>
    </cfRule>
  </conditionalFormatting>
  <conditionalFormatting sqref="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cfRule type="cellIs" dxfId="23" priority="57" stopIfTrue="1" operator="between">
      <formula>1.5</formula>
      <formula>6.2</formula>
    </cfRule>
  </conditionalFormatting>
  <conditionalFormatting sqref="G17 G19 G21 G23 G25 G27 G29 G31 G33 G35 G37 G39 G41 G43 G45 G47 G49 G51 G53 G55 G57 G59 G61 G63 G65 G67 G69 G71 G73 G75 G77 G79 G81 G83 G85 G87 G89 G91 G93 G95 G97 G99 G101 G103 G105 G107 G109 G111 G113 G115 G117 G119 G121 G123 G125 G127 G129 G131 G133 G135 G137 G139 G141 G143 G145 G147 G149 G151 G153 G155 G157 G159 G161 G163 G165">
    <cfRule type="cellIs" dxfId="22" priority="25" operator="between">
      <formula>66</formula>
      <formula>189</formula>
    </cfRule>
  </conditionalFormatting>
  <conditionalFormatting sqref="G17:G166">
    <cfRule type="cellIs" dxfId="21" priority="75" stopIfTrue="1" operator="notBetween">
      <formula>66</formula>
      <formula>189</formula>
    </cfRule>
  </conditionalFormatting>
  <conditionalFormatting sqref="G18 G20 G22 G24 G26 G28 G30 G32 G34 G36 G38 G40 G42 G44 G46 G48 G50 G52 G54 G56 G58 G60 G62 G64 G66 G68 G70 G72 G74 G76 G78 G80 G82 G84 G86 G88 G90 G92 G94 G96 G98 G100 G102 G104 G106 G108 G110 G112 G114 G116 G118 G120 G122 G124 G126 G128 G130 G132 G134 G136 G138 G140 G142 G144 G146 G148 G150 G152 G154 G156 G158 G160 G162 G164 G166">
    <cfRule type="cellIs" dxfId="20" priority="54" stopIfTrue="1" operator="between">
      <formula>66</formula>
      <formula>189</formula>
    </cfRule>
  </conditionalFormatting>
  <conditionalFormatting sqref="H17">
    <cfRule type="cellIs" dxfId="19" priority="36" stopIfTrue="1" operator="greaterThan">
      <formula>60</formula>
    </cfRule>
  </conditionalFormatting>
  <conditionalFormatting sqref="H17:H166">
    <cfRule type="cellIs" dxfId="18" priority="35" stopIfTrue="1" operator="greaterThan">
      <formula>60</formula>
    </cfRule>
  </conditionalFormatting>
  <conditionalFormatting sqref="I17 I19 I21 I23 I25 I27 I29 I31 I33 I35 I37 I39 I41 I43 I45 I47 I49 I51 I53 I55 I57 I59 I61 I63 I65 I67 I69 I71 I73 I75 I77 I79 I81 I83 I85 I87 I89 I91 I93 I95 I97 I99 I101 I103 I105 I107 I109 I111 I113 I115 I117 I119 I121 I123 I125 I127 I129 I131 I133 I135 I137 I139 I141 I143 I145 I147 I149 I151 I153 I155 I157 I159 I161 I163 I165">
    <cfRule type="cellIs" dxfId="17" priority="28" operator="between">
      <formula>16</formula>
      <formula>35</formula>
    </cfRule>
  </conditionalFormatting>
  <conditionalFormatting sqref="I17:I166">
    <cfRule type="cellIs" dxfId="16" priority="73" stopIfTrue="1" operator="notBetween">
      <formula>16</formula>
      <formula>35</formula>
    </cfRule>
  </conditionalFormatting>
  <conditionalFormatting sqref="I18 I20 I22 I24 I26 I28 I30 I32 I34 I36 I38 I40 I42 I44 I46 I48 I50 I52 I54 I56 I58 I60 I62 I64 I66 I68 I70 I72 I74 I76 I78 I80 I82 I84 I86 I88 I90 I92 I94 I96 I98 I100 I102 I104 I106 I108 I110 I112 I114 I116 I118 I120 I122 I124 I126 I128 I130 I132 I134 I136 I138 I140 I142 I144 I146 I148 I150 I152 I154 I156 I158 I160 I162 I164 I166">
    <cfRule type="cellIs" dxfId="15" priority="48" stopIfTrue="1" operator="between">
      <formula>16</formula>
      <formula>35</formula>
    </cfRule>
  </conditionalFormatting>
  <conditionalFormatting sqref="I17:J17 I19:J19 I21:J21 I23:J23 I25:J25 I27:J27 I29:J29 I31:J31 I33:J33 I35:J35 I37:J37 I39:J39 I41:J41 I43:J43 I45:J45 I47:J47 I49:J49 I51:J51 I53:J53 I55:J55 I57:J57 I59:J59 I61:J61 I63:J63 I65:J65 I67:J67 I69:J69 I71:J71 I73:J73 I75:J75 I77:J77 I79:J79 I81:J81 I83:J83 I85:J85 I87:J87 I89:J89 I91:J91 I93:J93 I95:J95 I97:J97 I99:J99 I101:J101 I103:J103 I105:J105 I107:J107 I109:J109 I111:J111 I113:J113 I115:J115 I117:J117 I119:J119 I121:J121 I123:J123 I125:J125 I127:J127 I129:J129 I131:J131 I133:J133 I135:J135 I137:J137 I139:J139 I141:J141 I143:J143 I145:J145 I147:J147 I149:J149 I151:J151 I153:J153 I155:J155 I157:J157 I159:J159 I161:J161 I163:J163 I165:J165">
    <cfRule type="cellIs" dxfId="14" priority="9" operator="equal">
      <formula>0</formula>
    </cfRule>
  </conditionalFormatting>
  <conditionalFormatting sqref="J17 J19 J21 J23 J25 J27 J29 J31 J33 J35 J37 J39 J41 J43 J45 J47 J49 J51 J53 J55 J57 J59 J61 J63 J65 J67 J69 J71 J73 J75 J77 J79 J81 J83 J85 J87 J89 J91 J93 J95 J97 J99 J101 J103 J105 J107 J109 J111 J113 J115 J117 J119 J121 J123 J125 J127 J129 J131 J133 J135 J137 J139 J141 J143 J145 J147 J149 J151 J153 J155 J157 J159 J161 J163 J165">
    <cfRule type="cellIs" dxfId="13" priority="10" operator="between">
      <formula>600</formula>
      <formula>1611</formula>
    </cfRule>
  </conditionalFormatting>
  <conditionalFormatting sqref="J17:J165">
    <cfRule type="cellIs" dxfId="12" priority="11" operator="notBetween">
      <formula>600</formula>
      <formula>1611</formula>
    </cfRule>
  </conditionalFormatting>
  <conditionalFormatting sqref="J18 J20 J22 J24 J26 J28 J30 J32 J34 J36 J38 J40 J42 J44 J46 J48 J50 J52 J54 J56 J58 J60 J62 J64 J66 J68 J70 J72 J74 J76 J78 J80 J82 J84 J86 J88 J90 J92 J94 J96 J98 J100 J102 J104 J106 J108 J110 J112 J114 J116 J118 J120 J122 J124 J126 J128 J130 J132 J134 J136 J138 J140 J142 J144 J146 J148 J150 J152 J154 J156 J158 J160 J162 J164">
    <cfRule type="cellIs" dxfId="11" priority="5" operator="between">
      <formula>600</formula>
      <formula>1611</formula>
    </cfRule>
  </conditionalFormatting>
  <conditionalFormatting sqref="J166">
    <cfRule type="cellIs" dxfId="10" priority="3" operator="between">
      <formula>600</formula>
      <formula>1611</formula>
    </cfRule>
    <cfRule type="cellIs" dxfId="9" priority="4" operator="notBetween">
      <formula>600</formula>
      <formula>1611</formula>
    </cfRule>
  </conditionalFormatting>
  <conditionalFormatting sqref="K17 K19 K21 K23 K25 K27 K29 K31 K33 K35 K37 K39 K41 K43 K45 K47 K49 K51 K53 K55 K57 K59 K61 K63 K65 K67 K69 K71 K73 K75 K77 K79 K81 K83 K85 K87 K89 K91 K93 K95 K97 K99 K101 K103 K105 K107 K109 K111 K113 K115 K117 K119 K121 K123 K125 K127 K129 K131 K133 K135 K137 K139 K141 K143 K145 K147 K149 K151 K153 K155 K157 K159 K161 K163 K165">
    <cfRule type="cellIs" dxfId="8" priority="1" operator="equal">
      <formula>0</formula>
    </cfRule>
  </conditionalFormatting>
  <conditionalFormatting sqref="K17:K166">
    <cfRule type="cellIs" dxfId="7" priority="34" operator="notBetween">
      <formula>11</formula>
      <formula>29</formula>
    </cfRule>
  </conditionalFormatting>
  <conditionalFormatting sqref="K18 K20 K22 K24 K26 K28 K30 K32 K34 K36 K38 K40 K42 K44 K46 K48 K50 K52 K54 K56 K58 K60 K62 K64 K66 K68 K70 K72 K74 K76 K78 K80 K82 K84 K86 K88 K90 K92 K94 K96 K98 K100 K102 K104 K106 K108 K110 K112 K114 K116 K118 K120 K122 K124 K126 K128 K130 K132 K134 K136 K138 K140 K142 K144 K146 K148 K150 K152 K154 K156 K158 K160 K162 K164 K166">
    <cfRule type="cellIs" dxfId="6" priority="32" operator="between">
      <formula>11</formula>
      <formula>29</formula>
    </cfRule>
  </conditionalFormatting>
  <conditionalFormatting sqref="L17:L166">
    <cfRule type="cellIs" dxfId="5" priority="33" stopIfTrue="1" operator="greaterThan">
      <formula>5</formula>
    </cfRule>
  </conditionalFormatting>
  <conditionalFormatting sqref="M17 M19 M21 M23 M25 M27 M29 M31 M33 M35 M37 M39 M41 M43 M45 M47 M49 M51 M53 M55 M57 M59 M61 M63 M65 M67 M69 M71 M73 M75 M77 M79 M81 M83 M85 M87 M89 M91 M93 M95 M97 M99 M101 M103 M105 M107 M109 M111 M113 M115 M117 M119 M121 M123 M125 M127 M129 M131 M133 M135 M137 M139 M141 M143 M145 M147 M149 M151 M153 M155 M157 M159 M161 M163 M165">
    <cfRule type="cellIs" dxfId="4" priority="20" operator="notBetween">
      <formula>600</formula>
      <formula>1611</formula>
    </cfRule>
    <cfRule type="cellIs" dxfId="3" priority="19" operator="between">
      <formula>600</formula>
      <formula>1611</formula>
    </cfRule>
    <cfRule type="cellIs" dxfId="2" priority="18" operator="equal">
      <formula>0</formula>
    </cfRule>
  </conditionalFormatting>
  <conditionalFormatting sqref="M18 M20 M22 M24 M26 M28 M30 M32 M34 M36 M38 M40 M42 M44 M46 M48 M50 M52 M54 M56 M58 M60 M62 M64 M66 M68 M70 M72 M74 M76 M78 M80 M82 M84 M86 M88 M90 M92 M94 M96 M98 M100 M102 M104 M106 M108 M110 M112 M114 M116 M118 M120 M122 M124 M126 M128 M130 M132 M134 M136 M138 M140 M142 M144 M146 M148 M150 M152 M154 M156 M158 M160 M162 M164 M166">
    <cfRule type="cellIs" dxfId="1" priority="16" operator="between">
      <formula>600</formula>
      <formula>1611</formula>
    </cfRule>
    <cfRule type="cellIs" dxfId="0" priority="17" operator="notBetween">
      <formula>600</formula>
      <formula>1611</formula>
    </cfRule>
  </conditionalFormatting>
  <dataValidations count="17">
    <dataValidation type="decimal" errorStyle="warning" allowBlank="1" showInputMessage="1" showErrorMessage="1" errorTitle="Achtung!" error="Der von Ihnen eingegebene Wert ist unwahrscheinlich. Bitte überprüfen Sie Ihre Eingabe._x000a_" sqref="E17:E166" xr:uid="{00000000-0002-0000-0200-000000000000}">
      <formula1>3.1</formula1>
      <formula2>5.9</formula2>
    </dataValidation>
    <dataValidation type="decimal" errorStyle="warning" allowBlank="1" showInputMessage="1" showErrorMessage="1" errorTitle="Achtung!" error="Der von Ihnen eingegebene Wert ist unwahrscheinlich. Bitte überprüfen Sie Ihre Eingabe._x000a_" sqref="F17:F166" xr:uid="{00000000-0002-0000-0200-000001000000}">
      <formula1>1.5</formula1>
      <formula2>6.2</formula2>
    </dataValidation>
    <dataValidation type="whole" errorStyle="warning" allowBlank="1" showInputMessage="1" showErrorMessage="1" errorTitle="Achtung!" error="Der von Ihnen eingegebene Wert ist unwahrscheinlich. Bitte überprüfen Sie Ihre Eingabe._x000a_" sqref="G17:G166" xr:uid="{00000000-0002-0000-0200-000002000000}">
      <formula1>66</formula1>
      <formula2>189</formula2>
    </dataValidation>
    <dataValidation type="decimal" errorStyle="warning" allowBlank="1" showInputMessage="1" showErrorMessage="1" errorTitle="Achtung!" error="Der von Ihnen eingegebene Wert ist unwahrscheinlich. Bitte überprüfen Sie Ihre Eingabe._x000a_" sqref="I17:I166" xr:uid="{00000000-0002-0000-0200-000003000000}">
      <formula1>16</formula1>
      <formula2>35</formula2>
    </dataValidation>
    <dataValidation type="decimal" errorStyle="warning" allowBlank="1" showInputMessage="1" showErrorMessage="1" errorTitle="Achtung!" error="Der von Ihnen eingegebene Wert ist unwahrscheinlich. Bitte überprüfen Sie Ihre Eingabe._x000a_" sqref="J17:J166" xr:uid="{00000000-0002-0000-0200-000004000000}">
      <formula1>600</formula1>
      <formula2>1611</formula2>
    </dataValidation>
    <dataValidation type="decimal" allowBlank="1" showInputMessage="1" showErrorMessage="1" errorTitle="Fehlermeldung" error="Der von Ihnen eingegebene Wert ist nicht plausibel. Bitte überprüfen Sie Ihre Eingabe, insebesondere die Kommasetzung._x000a_" sqref="E14:E16 D13 D205:D65520" xr:uid="{00000000-0002-0000-0200-000005000000}">
      <formula1>2.8</formula1>
      <formula2>6</formula2>
    </dataValidation>
    <dataValidation type="decimal" allowBlank="1" showInputMessage="1" showErrorMessage="1" errorTitle="Fehlermeldung" error="Der von Ihnen eingegebene Wert ist nicht plausibel. Bitte überprüfen Sie Ihre Eingabe, insebesondere die Kommasetzung." sqref="F14:F16 E13 E205:E65520" xr:uid="{00000000-0002-0000-0200-000006000000}">
      <formula1>1.3</formula1>
      <formula2>6.9</formula2>
    </dataValidation>
    <dataValidation type="decimal" allowBlank="1" showInputMessage="1" showErrorMessage="1" errorTitle="Fehlermeldung" error="Der von Ihnen eingegebene Wert ist nicht plausibel. Bitte überprüfen Sie Ihre Eingabe, insebesondere die Kommasetzung." sqref="F205:F65520 F13 G14" xr:uid="{00000000-0002-0000-0200-000007000000}">
      <formula1>0.48</formula1>
      <formula2>2.08</formula2>
    </dataValidation>
    <dataValidation type="decimal" allowBlank="1" showInputMessage="1" showErrorMessage="1" errorTitle="Fehlermeldung" error="Der von Ihnen eingegebene Wert ist nicht plausibel. Bitte überprüfen Sie Ihre Eingabe, insebesondere die Kommasetzung." sqref="G205:G65520 G13" xr:uid="{00000000-0002-0000-0200-000008000000}">
      <formula1>72</formula1>
      <formula2>128</formula2>
    </dataValidation>
    <dataValidation type="decimal" allowBlank="1" showInputMessage="1" showErrorMessage="1" errorTitle="Fehlermeldung" error="Der von Ihnen eingegebene Wert ist nicht plausibel. Bitte überprüfen Sie Ihre Eingabe, insebesondere die Kommasetzung." sqref="I14:I16 H13 H205:H65520" xr:uid="{00000000-0002-0000-0200-000009000000}">
      <formula1>12</formula1>
      <formula2>36</formula2>
    </dataValidation>
    <dataValidation type="decimal" allowBlank="1" showInputMessage="1" showErrorMessage="1" errorTitle="Fehlermeldung" error="Der von Ihnen eingegebene Wert ist nicht plausibel. Bitte überprüfen Sie Ihre Eingabe, insebesondere die Kommasetzung." sqref="I205:I65520 I13 J16 J14" xr:uid="{00000000-0002-0000-0200-00000A000000}">
      <formula1>477</formula1>
      <formula2>1589</formula2>
    </dataValidation>
    <dataValidation type="list" allowBlank="1" showInputMessage="1" showErrorMessage="1" sqref="D17:D166" xr:uid="{00000000-0002-0000-0200-00000B000000}">
      <formula1>Beeinträchtigungen</formula1>
    </dataValidation>
    <dataValidation type="list" allowBlank="1" showInputMessage="1" showErrorMessage="1" sqref="H5" xr:uid="{00000000-0002-0000-0200-00000C000000}">
      <formula1>Abt.neu</formula1>
    </dataValidation>
    <dataValidation type="whole" errorStyle="warning" allowBlank="1" showInputMessage="1" showErrorMessage="1" errorTitle="Achtung!" error="Der von Ihnen eingegebene Wert ist unwahrscheinlich. Bitte überprüfen Sie Ihre Eingabe." sqref="H17 H19:H166" xr:uid="{00000000-0002-0000-0200-00000D000000}">
      <formula1>0</formula1>
      <formula2>60</formula2>
    </dataValidation>
    <dataValidation type="whole" errorStyle="warning" showInputMessage="1" showErrorMessage="1" errorTitle="Achtung!" error="Der von Ihnen eingegebene Wert ist unwahrscheinlich. Bitte überprüfen Sie Ihre Eingabe." sqref="H18" xr:uid="{00000000-0002-0000-0200-00000E000000}">
      <formula1>0</formula1>
      <formula2>60</formula2>
    </dataValidation>
    <dataValidation type="whole" errorStyle="warning" allowBlank="1" showInputMessage="1" showErrorMessage="1" errorTitle="Achtung" error="Der von Ihnen eingegebene Wert ist unwahrscheinlich. Bitte überprüfen Sie Ihre Eingabe." sqref="K17:K166" xr:uid="{00000000-0002-0000-0200-00000F000000}">
      <formula1>11</formula1>
      <formula2>29</formula2>
    </dataValidation>
    <dataValidation type="whole" errorStyle="warning" allowBlank="1" showInputMessage="1" showErrorMessage="1" errorTitle="Achtung!" error="Der von Ihnen eingegebene Wert ist falsch (max 5 Pylonen). Bitte überprüfen Sie Ihre Eingabe!" sqref="L17:L166" xr:uid="{00000000-0002-0000-0200-000010000000}">
      <formula1>1</formula1>
      <formula2>5</formula2>
    </dataValidation>
  </dataValidations>
  <hyperlinks>
    <hyperlink ref="I5:J6" location="'Hilfe zur Dateneingabe'!A1" tooltip="Hilfe zur Dateneingabe" display="Hilfe zur Dateneingabe" xr:uid="{00000000-0004-0000-0200-000000000000}"/>
    <hyperlink ref="D169:F171" location="Schülerprofil!C18" tooltip="Durch Klicken gelangen Sie zurück zum Schülerprofil." display="← zurück zum Schülerprofil" xr:uid="{00000000-0004-0000-0200-000001000000}"/>
    <hyperlink ref="I8:J9" location="Startseite!A1" display="← zurück zum Schülerprofil" xr:uid="{00000000-0004-0000-0200-000002000000}"/>
  </hyperlinks>
  <pageMargins left="0.70866141732283472" right="0.70866141732283472" top="0.78740157480314965" bottom="0.78740157480314965" header="0.31496062992125984" footer="0.31496062992125984"/>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1">
    <tabColor rgb="FFC00000"/>
  </sheetPr>
  <dimension ref="C2:S219"/>
  <sheetViews>
    <sheetView zoomScaleNormal="100" workbookViewId="0">
      <selection activeCell="Q79" sqref="Q79"/>
    </sheetView>
  </sheetViews>
  <sheetFormatPr baseColWidth="10" defaultColWidth="11.5" defaultRowHeight="14" x14ac:dyDescent="0.15"/>
  <cols>
    <col min="1" max="1" width="4.5" style="5" customWidth="1"/>
    <col min="2" max="16384" width="11.5" style="5"/>
  </cols>
  <sheetData>
    <row r="2" spans="3:19" ht="23" x14ac:dyDescent="0.25">
      <c r="C2" s="266" t="s">
        <v>91</v>
      </c>
      <c r="D2" s="266"/>
      <c r="E2" s="266"/>
      <c r="F2" s="266"/>
      <c r="G2" s="266"/>
      <c r="H2" s="266"/>
      <c r="I2" s="266"/>
    </row>
    <row r="4" spans="3:19" ht="30" x14ac:dyDescent="0.3">
      <c r="C4" s="6"/>
      <c r="N4" s="7"/>
      <c r="O4" s="7"/>
      <c r="P4" s="7"/>
    </row>
    <row r="5" spans="3:19" ht="17.5" customHeight="1" x14ac:dyDescent="0.3">
      <c r="C5" s="6"/>
    </row>
    <row r="6" spans="3:19" x14ac:dyDescent="0.15">
      <c r="N6" s="8"/>
      <c r="O6" s="8"/>
      <c r="P6" s="8"/>
      <c r="Q6" s="9"/>
      <c r="R6" s="9"/>
    </row>
    <row r="7" spans="3:19" ht="31.5" customHeight="1" thickBot="1" x14ac:dyDescent="0.2"/>
    <row r="8" spans="3:19" ht="0.5" customHeight="1" thickBot="1" x14ac:dyDescent="0.2"/>
    <row r="9" spans="3:19" x14ac:dyDescent="0.15">
      <c r="N9" s="269" t="s">
        <v>94</v>
      </c>
      <c r="O9" s="270"/>
      <c r="P9" s="271"/>
    </row>
    <row r="10" spans="3:19" ht="15" thickBot="1" x14ac:dyDescent="0.2">
      <c r="N10" s="272"/>
      <c r="O10" s="273"/>
      <c r="P10" s="274"/>
    </row>
    <row r="11" spans="3:19" ht="15" thickBot="1" x14ac:dyDescent="0.2"/>
    <row r="12" spans="3:19" ht="15" customHeight="1" x14ac:dyDescent="0.25">
      <c r="D12" s="10"/>
      <c r="N12" s="269" t="s">
        <v>93</v>
      </c>
      <c r="O12" s="270"/>
      <c r="P12" s="271"/>
    </row>
    <row r="13" spans="3:19" ht="15" thickBot="1" x14ac:dyDescent="0.2">
      <c r="N13" s="272"/>
      <c r="O13" s="273"/>
      <c r="P13" s="274"/>
    </row>
    <row r="14" spans="3:19" ht="15" thickBot="1" x14ac:dyDescent="0.2"/>
    <row r="15" spans="3:19" x14ac:dyDescent="0.15">
      <c r="N15" s="269" t="s">
        <v>92</v>
      </c>
      <c r="O15" s="275"/>
      <c r="P15" s="276"/>
    </row>
    <row r="16" spans="3:19" ht="15" thickBot="1" x14ac:dyDescent="0.2">
      <c r="N16" s="277"/>
      <c r="O16" s="278"/>
      <c r="P16" s="279"/>
      <c r="S16" s="11"/>
    </row>
    <row r="17" spans="4:4" ht="15.75" customHeight="1" x14ac:dyDescent="0.25">
      <c r="D17" s="10"/>
    </row>
    <row r="18" spans="4:4" ht="15" customHeight="1" x14ac:dyDescent="0.25">
      <c r="D18" s="10"/>
    </row>
    <row r="19" spans="4:4" ht="15.5" customHeight="1" x14ac:dyDescent="0.25">
      <c r="D19" s="10"/>
    </row>
    <row r="20" spans="4:4" ht="15.5" customHeight="1" x14ac:dyDescent="0.25">
      <c r="D20" s="10"/>
    </row>
    <row r="21" spans="4:4" ht="15" customHeight="1" x14ac:dyDescent="0.25">
      <c r="D21" s="10"/>
    </row>
    <row r="22" spans="4:4" ht="15" customHeight="1" x14ac:dyDescent="0.25">
      <c r="D22" s="10"/>
    </row>
    <row r="23" spans="4:4" ht="15" customHeight="1" x14ac:dyDescent="0.25">
      <c r="D23" s="10"/>
    </row>
    <row r="56" spans="14:16" ht="15" thickBot="1" x14ac:dyDescent="0.2"/>
    <row r="57" spans="14:16" x14ac:dyDescent="0.15">
      <c r="N57" s="241" t="s">
        <v>94</v>
      </c>
      <c r="O57" s="283"/>
      <c r="P57" s="284"/>
    </row>
    <row r="58" spans="14:16" x14ac:dyDescent="0.15">
      <c r="N58" s="285"/>
      <c r="O58" s="286"/>
      <c r="P58" s="287"/>
    </row>
    <row r="59" spans="14:16" ht="15" thickBot="1" x14ac:dyDescent="0.2">
      <c r="N59" s="288"/>
      <c r="O59" s="289"/>
      <c r="P59" s="290"/>
    </row>
    <row r="67" spans="11:13" ht="15" customHeight="1" x14ac:dyDescent="0.15">
      <c r="K67" s="12"/>
      <c r="L67" s="12"/>
      <c r="M67" s="12"/>
    </row>
    <row r="68" spans="11:13" ht="15" customHeight="1" x14ac:dyDescent="0.15">
      <c r="K68" s="12"/>
      <c r="L68" s="12"/>
      <c r="M68" s="12"/>
    </row>
    <row r="82" spans="14:16" x14ac:dyDescent="0.15">
      <c r="N82" s="13"/>
      <c r="O82" s="13"/>
      <c r="P82" s="13"/>
    </row>
    <row r="83" spans="14:16" x14ac:dyDescent="0.15">
      <c r="N83" s="13"/>
      <c r="O83" s="13"/>
      <c r="P83" s="13"/>
    </row>
    <row r="84" spans="14:16" x14ac:dyDescent="0.15">
      <c r="N84" s="13"/>
      <c r="O84" s="13"/>
      <c r="P84" s="13"/>
    </row>
    <row r="92" spans="14:16" ht="15" thickBot="1" x14ac:dyDescent="0.2"/>
    <row r="93" spans="14:16" ht="15" customHeight="1" x14ac:dyDescent="0.15">
      <c r="N93" s="241" t="s">
        <v>93</v>
      </c>
      <c r="O93" s="242"/>
      <c r="P93" s="243"/>
    </row>
    <row r="94" spans="14:16" ht="15" customHeight="1" x14ac:dyDescent="0.15">
      <c r="N94" s="280"/>
      <c r="O94" s="281"/>
      <c r="P94" s="282"/>
    </row>
    <row r="95" spans="14:16" ht="15.75" customHeight="1" thickBot="1" x14ac:dyDescent="0.2">
      <c r="N95" s="244"/>
      <c r="O95" s="245"/>
      <c r="P95" s="246"/>
    </row>
    <row r="131" spans="11:16" ht="15" thickBot="1" x14ac:dyDescent="0.2"/>
    <row r="132" spans="11:16" ht="15" customHeight="1" x14ac:dyDescent="0.15">
      <c r="N132" s="241" t="s">
        <v>93</v>
      </c>
      <c r="O132" s="242"/>
      <c r="P132" s="243"/>
    </row>
    <row r="133" spans="11:16" ht="15" customHeight="1" x14ac:dyDescent="0.15">
      <c r="N133" s="280"/>
      <c r="O133" s="281"/>
      <c r="P133" s="282"/>
    </row>
    <row r="134" spans="11:16" ht="15.75" customHeight="1" thickBot="1" x14ac:dyDescent="0.2">
      <c r="N134" s="244"/>
      <c r="O134" s="245"/>
      <c r="P134" s="246"/>
    </row>
    <row r="141" spans="11:16" x14ac:dyDescent="0.15">
      <c r="K141" s="268"/>
      <c r="L141" s="268"/>
      <c r="M141" s="268"/>
    </row>
    <row r="142" spans="11:16" x14ac:dyDescent="0.15">
      <c r="K142" s="268"/>
      <c r="L142" s="268"/>
      <c r="M142" s="268"/>
    </row>
    <row r="172" spans="14:16" ht="15" thickBot="1" x14ac:dyDescent="0.2"/>
    <row r="173" spans="14:16" ht="15" customHeight="1" x14ac:dyDescent="0.15">
      <c r="N173" s="241" t="s">
        <v>92</v>
      </c>
      <c r="O173" s="242"/>
      <c r="P173" s="243"/>
    </row>
    <row r="174" spans="14:16" ht="15" customHeight="1" x14ac:dyDescent="0.15">
      <c r="N174" s="280"/>
      <c r="O174" s="281"/>
      <c r="P174" s="282"/>
    </row>
    <row r="175" spans="14:16" ht="15.75" customHeight="1" thickBot="1" x14ac:dyDescent="0.2">
      <c r="N175" s="244"/>
      <c r="O175" s="245"/>
      <c r="P175" s="246"/>
    </row>
    <row r="199" spans="14:16" ht="15" thickBot="1" x14ac:dyDescent="0.2"/>
    <row r="200" spans="14:16" x14ac:dyDescent="0.15">
      <c r="N200" s="241" t="s">
        <v>92</v>
      </c>
      <c r="O200" s="242"/>
      <c r="P200" s="243"/>
    </row>
    <row r="201" spans="14:16" x14ac:dyDescent="0.15">
      <c r="N201" s="280"/>
      <c r="O201" s="281"/>
      <c r="P201" s="282"/>
    </row>
    <row r="202" spans="14:16" ht="15" thickBot="1" x14ac:dyDescent="0.2">
      <c r="N202" s="244"/>
      <c r="O202" s="245"/>
      <c r="P202" s="246"/>
    </row>
    <row r="219" spans="8:11" x14ac:dyDescent="0.15">
      <c r="H219" s="267"/>
      <c r="I219" s="267"/>
      <c r="J219" s="267"/>
      <c r="K219" s="267"/>
    </row>
  </sheetData>
  <mergeCells count="11">
    <mergeCell ref="C2:I2"/>
    <mergeCell ref="H219:K219"/>
    <mergeCell ref="K141:M142"/>
    <mergeCell ref="N12:P13"/>
    <mergeCell ref="N15:P16"/>
    <mergeCell ref="N9:P10"/>
    <mergeCell ref="N132:P134"/>
    <mergeCell ref="N93:P95"/>
    <mergeCell ref="N173:P175"/>
    <mergeCell ref="N200:P202"/>
    <mergeCell ref="N57:P59"/>
  </mergeCells>
  <hyperlinks>
    <hyperlink ref="N93:P95" location="Schülerprofil!C19" tooltip="Durch Klicken gelangen Sie zurück zum Schülerprofil." display="← zurück zum Schülerprofil" xr:uid="{00000000-0004-0000-0300-000000000000}"/>
    <hyperlink ref="N132:P134" location="Schülerprofil!C19" tooltip="Durch Klicken gelangen Sie zurück zum Schülerprofil." display="← zurück zum Schülerprofil" xr:uid="{00000000-0004-0000-0300-000001000000}"/>
    <hyperlink ref="N173:P175" location="'TEST-Daten'!C17" tooltip="Durch Klicken gelangen Sie zuürck zu den TEST-Daten." display="← zurück zu den TEST-Daten" xr:uid="{00000000-0004-0000-0300-000002000000}"/>
    <hyperlink ref="N200:P202" location="'TEST-Daten'!C17" tooltip="Durch Klicken gelangen Sie zurück zu den Test-Daten." display="← zurück zu den TEST-Daten" xr:uid="{00000000-0004-0000-0300-000003000000}"/>
    <hyperlink ref="N57:P59" location="Startseite!C5" tooltip="Druch Klicken gelangen Sie zurück zur Startseite." display="← zurück zur Startseite" xr:uid="{00000000-0004-0000-0300-000004000000}"/>
    <hyperlink ref="N9:P10" location="Startseite!A1" display="← zurück zur Startseite" xr:uid="{00000000-0004-0000-0300-000005000000}"/>
    <hyperlink ref="N12:P13" location="Schülerprofil!C19" tooltip="Durch Klicken gelangen Sie zurück zum Schülerprofil" display="← zurück zum Schülerprofil" xr:uid="{00000000-0004-0000-0300-000006000000}"/>
    <hyperlink ref="N15:P16" location="'TEST-Daten'!A1" display="← zurück zu den TEST-Daten" xr:uid="{00000000-0004-0000-0300-000007000000}"/>
  </hyperlink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A1:R14"/>
  <sheetViews>
    <sheetView topLeftCell="D1" workbookViewId="0">
      <selection activeCell="I8" sqref="I8"/>
    </sheetView>
  </sheetViews>
  <sheetFormatPr baseColWidth="10" defaultRowHeight="15" x14ac:dyDescent="0.2"/>
  <cols>
    <col min="6" max="6" width="14.5" customWidth="1"/>
    <col min="7" max="7" width="23.5" customWidth="1"/>
    <col min="8" max="8" width="14.1640625" customWidth="1"/>
    <col min="9" max="9" width="15" customWidth="1"/>
    <col min="13" max="13" width="11.5" style="1"/>
  </cols>
  <sheetData>
    <row r="1" spans="1:18" x14ac:dyDescent="0.2">
      <c r="A1" t="s">
        <v>0</v>
      </c>
      <c r="B1" s="1" t="s">
        <v>4</v>
      </c>
      <c r="C1">
        <v>0</v>
      </c>
      <c r="D1" t="s">
        <v>7</v>
      </c>
      <c r="E1" t="s">
        <v>8</v>
      </c>
      <c r="F1" t="s">
        <v>11</v>
      </c>
      <c r="G1" t="s">
        <v>96</v>
      </c>
      <c r="H1" t="s">
        <v>96</v>
      </c>
      <c r="I1" t="s">
        <v>26</v>
      </c>
      <c r="J1" s="1" t="s">
        <v>58</v>
      </c>
      <c r="K1" t="s">
        <v>20</v>
      </c>
      <c r="L1">
        <v>2001</v>
      </c>
      <c r="M1" s="1">
        <v>1</v>
      </c>
      <c r="N1" s="3"/>
      <c r="O1" s="3"/>
      <c r="R1" s="3" t="s">
        <v>47</v>
      </c>
    </row>
    <row r="2" spans="1:18" x14ac:dyDescent="0.2">
      <c r="A2" t="s">
        <v>1</v>
      </c>
      <c r="B2" s="1" t="s">
        <v>5</v>
      </c>
      <c r="C2">
        <v>1</v>
      </c>
      <c r="D2" t="s">
        <v>66</v>
      </c>
      <c r="E2" t="s">
        <v>9</v>
      </c>
      <c r="F2" t="s">
        <v>12</v>
      </c>
      <c r="G2" t="s">
        <v>36</v>
      </c>
      <c r="H2" t="s">
        <v>36</v>
      </c>
      <c r="I2" t="s">
        <v>25</v>
      </c>
      <c r="J2" s="1" t="s">
        <v>59</v>
      </c>
      <c r="K2" t="s">
        <v>21</v>
      </c>
      <c r="L2">
        <v>2002</v>
      </c>
      <c r="M2" s="1">
        <v>2</v>
      </c>
      <c r="O2" s="4"/>
      <c r="Q2" t="s">
        <v>50</v>
      </c>
      <c r="R2" s="1" t="s">
        <v>20</v>
      </c>
    </row>
    <row r="3" spans="1:18" x14ac:dyDescent="0.2">
      <c r="A3" t="s">
        <v>2</v>
      </c>
      <c r="B3" s="1" t="s">
        <v>6</v>
      </c>
      <c r="C3">
        <v>2</v>
      </c>
      <c r="D3" t="s">
        <v>65</v>
      </c>
      <c r="E3" t="s">
        <v>10</v>
      </c>
      <c r="F3" t="s">
        <v>41</v>
      </c>
      <c r="G3" t="s">
        <v>24</v>
      </c>
      <c r="H3" t="s">
        <v>24</v>
      </c>
      <c r="I3" t="s">
        <v>63</v>
      </c>
      <c r="J3" s="1" t="s">
        <v>60</v>
      </c>
      <c r="L3">
        <v>2003</v>
      </c>
      <c r="M3" s="1">
        <v>3</v>
      </c>
      <c r="O3" s="4"/>
      <c r="Q3" t="s">
        <v>53</v>
      </c>
      <c r="R3" s="1" t="s">
        <v>21</v>
      </c>
    </row>
    <row r="4" spans="1:18" x14ac:dyDescent="0.2">
      <c r="A4" t="s">
        <v>3</v>
      </c>
      <c r="C4" s="2" t="s">
        <v>43</v>
      </c>
      <c r="G4" t="s">
        <v>22</v>
      </c>
      <c r="H4" t="s">
        <v>22</v>
      </c>
      <c r="I4" t="s">
        <v>27</v>
      </c>
      <c r="J4" s="1" t="s">
        <v>61</v>
      </c>
      <c r="L4">
        <v>2004</v>
      </c>
      <c r="M4" s="1">
        <v>4</v>
      </c>
      <c r="O4" s="4"/>
      <c r="Q4" t="s">
        <v>52</v>
      </c>
    </row>
    <row r="5" spans="1:18" x14ac:dyDescent="0.2">
      <c r="G5" t="s">
        <v>44</v>
      </c>
      <c r="H5" t="s">
        <v>44</v>
      </c>
      <c r="I5" t="s">
        <v>23</v>
      </c>
      <c r="L5">
        <v>2005</v>
      </c>
      <c r="M5" s="1">
        <v>5</v>
      </c>
      <c r="O5" s="4"/>
      <c r="Q5" t="s">
        <v>54</v>
      </c>
    </row>
    <row r="6" spans="1:18" x14ac:dyDescent="0.2">
      <c r="G6" t="s">
        <v>23</v>
      </c>
      <c r="H6" t="s">
        <v>37</v>
      </c>
      <c r="I6" t="s">
        <v>38</v>
      </c>
      <c r="L6">
        <v>2006</v>
      </c>
      <c r="M6" s="1">
        <v>6</v>
      </c>
      <c r="Q6" t="s">
        <v>57</v>
      </c>
    </row>
    <row r="7" spans="1:18" x14ac:dyDescent="0.2">
      <c r="G7" t="s">
        <v>37</v>
      </c>
      <c r="H7" t="s">
        <v>38</v>
      </c>
      <c r="I7" t="s">
        <v>62</v>
      </c>
      <c r="L7">
        <v>2007</v>
      </c>
      <c r="M7" s="1">
        <v>7</v>
      </c>
      <c r="Q7" t="s">
        <v>55</v>
      </c>
    </row>
    <row r="8" spans="1:18" x14ac:dyDescent="0.2">
      <c r="G8" t="s">
        <v>38</v>
      </c>
      <c r="H8" t="s">
        <v>97</v>
      </c>
      <c r="M8" s="1">
        <v>8</v>
      </c>
      <c r="Q8" t="s">
        <v>51</v>
      </c>
    </row>
    <row r="9" spans="1:18" x14ac:dyDescent="0.2">
      <c r="G9" t="s">
        <v>97</v>
      </c>
      <c r="H9" t="s">
        <v>62</v>
      </c>
      <c r="M9" s="1">
        <v>9</v>
      </c>
      <c r="Q9" t="s">
        <v>56</v>
      </c>
    </row>
    <row r="10" spans="1:18" x14ac:dyDescent="0.2">
      <c r="G10" t="s">
        <v>62</v>
      </c>
      <c r="M10" s="1">
        <v>10</v>
      </c>
    </row>
    <row r="11" spans="1:18" x14ac:dyDescent="0.2">
      <c r="M11" s="1">
        <v>11</v>
      </c>
    </row>
    <row r="12" spans="1:18" x14ac:dyDescent="0.2">
      <c r="M12" s="1">
        <v>12</v>
      </c>
    </row>
    <row r="14" spans="1:18" x14ac:dyDescent="0.2">
      <c r="L14" s="291" t="s">
        <v>69</v>
      </c>
      <c r="M14" s="291"/>
    </row>
  </sheetData>
  <mergeCells count="1">
    <mergeCell ref="L14:M14"/>
  </mergeCells>
  <pageMargins left="0.7" right="0.7" top="0.78740157499999996" bottom="0.78740157499999996"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dimension ref="A1"/>
  <sheetViews>
    <sheetView workbookViewId="0">
      <selection activeCell="G37" sqref="G37"/>
    </sheetView>
  </sheetViews>
  <sheetFormatPr baseColWidth="10" defaultRowHeight="15" x14ac:dyDescent="0.2"/>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6</vt:i4>
      </vt:variant>
      <vt:variant>
        <vt:lpstr>Named Ranges</vt:lpstr>
      </vt:variant>
      <vt:variant>
        <vt:i4>27</vt:i4>
      </vt:variant>
    </vt:vector>
  </HeadingPairs>
  <TitlesOfParts>
    <vt:vector size="33" baseType="lpstr">
      <vt:lpstr>Startseite</vt:lpstr>
      <vt:lpstr>Schülerprofil</vt:lpstr>
      <vt:lpstr>TEST-Daten</vt:lpstr>
      <vt:lpstr>Hilfe zur Dateneingabe</vt:lpstr>
      <vt:lpstr>Tabelle4</vt:lpstr>
      <vt:lpstr>Tabelle1</vt:lpstr>
      <vt:lpstr>Abt.neu</vt:lpstr>
      <vt:lpstr>auswahl</vt:lpstr>
      <vt:lpstr>Beeinträchtigung</vt:lpstr>
      <vt:lpstr>Beeinträchtigungen</vt:lpstr>
      <vt:lpstr>bitte_auswählen_ja_nein</vt:lpstr>
      <vt:lpstr>Dienstalter</vt:lpstr>
      <vt:lpstr>Geburtsjahr</vt:lpstr>
      <vt:lpstr>Geburtsmonat</vt:lpstr>
      <vt:lpstr>Geburtstag</vt:lpstr>
      <vt:lpstr>Geschlecht</vt:lpstr>
      <vt:lpstr>Geschlecht1</vt:lpstr>
      <vt:lpstr>Lehrbefähigung</vt:lpstr>
      <vt:lpstr>Lehrbefähigung_neu</vt:lpstr>
      <vt:lpstr>Mitglied_neu</vt:lpstr>
      <vt:lpstr>Ort</vt:lpstr>
      <vt:lpstr>Schülerzahl</vt:lpstr>
      <vt:lpstr>Schulkonzept</vt:lpstr>
      <vt:lpstr>Schulprofil_neu</vt:lpstr>
      <vt:lpstr>Sport_AG</vt:lpstr>
      <vt:lpstr>Sportart_AG</vt:lpstr>
      <vt:lpstr>Sportart_Freizeit</vt:lpstr>
      <vt:lpstr>Sportart_Verein</vt:lpstr>
      <vt:lpstr>Stunden</vt:lpstr>
      <vt:lpstr>Stunden_neu</vt:lpstr>
      <vt:lpstr>Stunden_neuer</vt:lpstr>
      <vt:lpstr>Stunden..</vt:lpstr>
      <vt:lpstr>Testort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EMOTIKON_Team_Uni</dc:creator>
  <cp:lastModifiedBy>Toni Wöhrl</cp:lastModifiedBy>
  <cp:lastPrinted>2012-06-25T13:10:34Z</cp:lastPrinted>
  <dcterms:created xsi:type="dcterms:W3CDTF">2010-12-07T14:54:54Z</dcterms:created>
  <dcterms:modified xsi:type="dcterms:W3CDTF">2026-03-11T13:49:08Z</dcterms:modified>
</cp:coreProperties>
</file>